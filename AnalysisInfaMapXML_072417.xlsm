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SingleCells1.xml" ContentType="application/vnd.openxmlformats-officedocument.spreadsheetml.tableSingleCell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kochind-my.sharepoint.com/personal/warren_deferbrache_fhr_com/Documents/Documents/InformaticaExports/SingleAdd/"/>
    </mc:Choice>
  </mc:AlternateContent>
  <bookViews>
    <workbookView xWindow="0" yWindow="0" windowWidth="25200" windowHeight="12135" tabRatio="795"/>
  </bookViews>
  <sheets>
    <sheet name="Dashboard" sheetId="2" r:id="rId1"/>
    <sheet name="MapAnalysis" sheetId="8" r:id="rId2"/>
    <sheet name="Sources" sheetId="15" r:id="rId3"/>
    <sheet name="Targets" sheetId="11" r:id="rId4"/>
    <sheet name="Transformations" sheetId="12" r:id="rId5"/>
    <sheet name="Instances" sheetId="13" r:id="rId6"/>
    <sheet name="Connectors" sheetId="14" r:id="rId7"/>
    <sheet name="SourcesSrc" sheetId="1" r:id="rId8"/>
    <sheet name="TargetsSrc" sheetId="3" r:id="rId9"/>
    <sheet name="Sheet1" sheetId="16" r:id="rId10"/>
    <sheet name="TransformationsSrc" sheetId="5" r:id="rId11"/>
    <sheet name="InstancesSrc" sheetId="6" r:id="rId12"/>
    <sheet name="ConnectorsSrc" sheetId="7" r:id="rId13"/>
  </sheets>
  <functionGroups builtInGroupCount="18"/>
  <definedNames>
    <definedName name="_xlcn.LinkedTable_Table111" hidden="1">Sources[]</definedName>
    <definedName name="ConnectFromLkup">Connectors[FromComposite]</definedName>
    <definedName name="ConnectorsAccume">ConnectorsAll[]</definedName>
    <definedName name="FolderNameRng">Dashboard!$E$78</definedName>
    <definedName name="InstancesAccume">InstancesAll[]</definedName>
    <definedName name="MapNameLkup">Dashboard!$E$77</definedName>
    <definedName name="TransformsAccume">TranformsAll[]</definedName>
  </definedNames>
  <calcPr calcId="171027" calcMode="manual"/>
  <extLst>
    <ext xmlns:x15="http://schemas.microsoft.com/office/spreadsheetml/2010/11/main" uri="{FCE2AD5D-F65C-4FA6-A056-5C36A1767C68}">
      <x15:dataModel>
        <x15:modelTables>
          <x15:modelTable id="Table11" name="Table11" connection="LinkedTable_Table11"/>
        </x15:modelTables>
      </x15:dataModel>
    </ext>
  </extLst>
</workbook>
</file>

<file path=xl/calcChain.xml><?xml version="1.0" encoding="utf-8"?>
<calcChain xmlns="http://schemas.openxmlformats.org/spreadsheetml/2006/main">
  <c r="A10" i="1" l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H199" i="7"/>
  <c r="H200" i="7"/>
  <c r="H201" i="7"/>
  <c r="H202" i="7"/>
  <c r="H203" i="7"/>
  <c r="H204" i="7"/>
  <c r="H205" i="7"/>
  <c r="H206" i="7"/>
  <c r="H207" i="7"/>
  <c r="H208" i="7"/>
  <c r="H209" i="7"/>
  <c r="H210" i="7"/>
  <c r="H211" i="7"/>
  <c r="H212" i="7"/>
  <c r="H213" i="7"/>
  <c r="H214" i="7"/>
  <c r="H215" i="7"/>
  <c r="H216" i="7"/>
  <c r="H217" i="7"/>
  <c r="H218" i="7"/>
  <c r="H219" i="7"/>
  <c r="H220" i="7"/>
  <c r="H221" i="7"/>
  <c r="H222" i="7"/>
  <c r="H223" i="7"/>
  <c r="H224" i="7"/>
  <c r="H225" i="7"/>
  <c r="H226" i="7"/>
  <c r="H227" i="7"/>
  <c r="H228" i="7"/>
  <c r="H229" i="7"/>
  <c r="H230" i="7"/>
  <c r="H231" i="7"/>
  <c r="H232" i="7"/>
  <c r="H233" i="7"/>
  <c r="H234" i="7"/>
  <c r="H235" i="7"/>
  <c r="H236" i="7"/>
  <c r="H237" i="7"/>
  <c r="H238" i="7"/>
  <c r="H239" i="7"/>
  <c r="H240" i="7"/>
  <c r="H241" i="7"/>
  <c r="H242" i="7"/>
  <c r="H243" i="7"/>
  <c r="H244" i="7"/>
  <c r="H245" i="7"/>
  <c r="H246" i="7"/>
  <c r="H247" i="7"/>
  <c r="H248" i="7"/>
  <c r="H249" i="7"/>
  <c r="H250" i="7"/>
  <c r="H251" i="7"/>
  <c r="H252" i="7"/>
  <c r="H253" i="7"/>
  <c r="H254" i="7"/>
  <c r="H255" i="7"/>
  <c r="H256" i="7"/>
  <c r="H257" i="7"/>
  <c r="H258" i="7"/>
  <c r="H259" i="7"/>
  <c r="H260" i="7"/>
  <c r="H261" i="7"/>
  <c r="H262" i="7"/>
  <c r="H263" i="7"/>
  <c r="H264" i="7"/>
  <c r="H265" i="7"/>
  <c r="H266" i="7"/>
  <c r="H267" i="7"/>
  <c r="H268" i="7"/>
  <c r="H269" i="7"/>
  <c r="H270" i="7"/>
  <c r="H271" i="7"/>
  <c r="H272" i="7"/>
  <c r="H273" i="7"/>
  <c r="H274" i="7"/>
  <c r="H275" i="7"/>
  <c r="H276" i="7"/>
  <c r="H277" i="7"/>
  <c r="H278" i="7"/>
  <c r="H279" i="7"/>
  <c r="H280" i="7"/>
  <c r="H281" i="7"/>
  <c r="H282" i="7"/>
  <c r="H283" i="7"/>
  <c r="H284" i="7"/>
  <c r="H285" i="7"/>
  <c r="H286" i="7"/>
  <c r="H287" i="7"/>
  <c r="H288" i="7"/>
  <c r="H289" i="7"/>
  <c r="H290" i="7"/>
  <c r="H291" i="7"/>
  <c r="H292" i="7"/>
  <c r="H293" i="7"/>
  <c r="H294" i="7"/>
  <c r="H295" i="7"/>
  <c r="H296" i="7"/>
  <c r="H297" i="7"/>
  <c r="H298" i="7"/>
  <c r="H299" i="7"/>
  <c r="H300" i="7"/>
  <c r="H301" i="7"/>
  <c r="H302" i="7"/>
  <c r="H303" i="7"/>
  <c r="H304" i="7"/>
  <c r="H305" i="7"/>
  <c r="H306" i="7"/>
  <c r="H307" i="7"/>
  <c r="H308" i="7"/>
  <c r="H309" i="7"/>
  <c r="H310" i="7"/>
  <c r="H311" i="7"/>
  <c r="H312" i="7"/>
  <c r="H313" i="7"/>
  <c r="H314" i="7"/>
  <c r="H315" i="7"/>
  <c r="H316" i="7"/>
  <c r="H317" i="7"/>
  <c r="H318" i="7"/>
  <c r="H319" i="7"/>
  <c r="H320" i="7"/>
  <c r="H321" i="7"/>
  <c r="H322" i="7"/>
  <c r="H323" i="7"/>
  <c r="H324" i="7"/>
  <c r="H325" i="7"/>
  <c r="H326" i="7"/>
  <c r="H327" i="7"/>
  <c r="H328" i="7"/>
  <c r="H329" i="7"/>
  <c r="H330" i="7"/>
  <c r="H331" i="7"/>
  <c r="H332" i="7"/>
  <c r="H333" i="7"/>
  <c r="H334" i="7"/>
  <c r="H335" i="7"/>
  <c r="H336" i="7"/>
  <c r="H337" i="7"/>
  <c r="H338" i="7"/>
  <c r="H339" i="7"/>
  <c r="H340" i="7"/>
  <c r="H341" i="7"/>
  <c r="H342" i="7"/>
  <c r="H343" i="7"/>
  <c r="H344" i="7"/>
  <c r="H345" i="7"/>
  <c r="H346" i="7"/>
  <c r="H347" i="7"/>
  <c r="H348" i="7"/>
  <c r="H349" i="7"/>
  <c r="H350" i="7"/>
  <c r="H351" i="7"/>
  <c r="H352" i="7"/>
  <c r="H353" i="7"/>
  <c r="H354" i="7"/>
  <c r="H355" i="7"/>
  <c r="H356" i="7"/>
  <c r="H357" i="7"/>
  <c r="H358" i="7"/>
  <c r="H359" i="7"/>
  <c r="H360" i="7"/>
  <c r="H361" i="7"/>
  <c r="H362" i="7"/>
  <c r="H363" i="7"/>
  <c r="H364" i="7"/>
  <c r="H365" i="7"/>
  <c r="H366" i="7"/>
  <c r="H367" i="7"/>
  <c r="H368" i="7"/>
  <c r="H369" i="7"/>
  <c r="H370" i="7"/>
  <c r="H371" i="7"/>
  <c r="H372" i="7"/>
  <c r="H373" i="7"/>
  <c r="H374" i="7"/>
  <c r="H375" i="7"/>
  <c r="H376" i="7"/>
  <c r="H377" i="7"/>
  <c r="H378" i="7"/>
  <c r="H379" i="7"/>
  <c r="H380" i="7"/>
  <c r="H381" i="7"/>
  <c r="H382" i="7"/>
  <c r="H383" i="7"/>
  <c r="H384" i="7"/>
  <c r="H385" i="7"/>
  <c r="H386" i="7"/>
  <c r="H387" i="7"/>
  <c r="H388" i="7"/>
  <c r="H389" i="7"/>
  <c r="H390" i="7"/>
  <c r="H391" i="7"/>
  <c r="H392" i="7"/>
  <c r="H393" i="7"/>
  <c r="H394" i="7"/>
  <c r="H395" i="7"/>
  <c r="H396" i="7"/>
  <c r="H397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I192" i="7"/>
  <c r="I193" i="7"/>
  <c r="I194" i="7"/>
  <c r="I195" i="7"/>
  <c r="I196" i="7"/>
  <c r="I197" i="7"/>
  <c r="I198" i="7"/>
  <c r="I199" i="7"/>
  <c r="I200" i="7"/>
  <c r="I201" i="7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3" i="7"/>
  <c r="I224" i="7"/>
  <c r="I225" i="7"/>
  <c r="I226" i="7"/>
  <c r="I227" i="7"/>
  <c r="I228" i="7"/>
  <c r="I229" i="7"/>
  <c r="I230" i="7"/>
  <c r="I231" i="7"/>
  <c r="I232" i="7"/>
  <c r="I233" i="7"/>
  <c r="I234" i="7"/>
  <c r="I235" i="7"/>
  <c r="I236" i="7"/>
  <c r="I237" i="7"/>
  <c r="I238" i="7"/>
  <c r="I239" i="7"/>
  <c r="I240" i="7"/>
  <c r="I241" i="7"/>
  <c r="I242" i="7"/>
  <c r="I243" i="7"/>
  <c r="I244" i="7"/>
  <c r="I245" i="7"/>
  <c r="I246" i="7"/>
  <c r="I247" i="7"/>
  <c r="I248" i="7"/>
  <c r="I249" i="7"/>
  <c r="I250" i="7"/>
  <c r="I251" i="7"/>
  <c r="I252" i="7"/>
  <c r="I253" i="7"/>
  <c r="I254" i="7"/>
  <c r="I255" i="7"/>
  <c r="I256" i="7"/>
  <c r="I257" i="7"/>
  <c r="I258" i="7"/>
  <c r="I259" i="7"/>
  <c r="I260" i="7"/>
  <c r="I261" i="7"/>
  <c r="I262" i="7"/>
  <c r="I263" i="7"/>
  <c r="I264" i="7"/>
  <c r="I265" i="7"/>
  <c r="I266" i="7"/>
  <c r="I267" i="7"/>
  <c r="I268" i="7"/>
  <c r="I269" i="7"/>
  <c r="I270" i="7"/>
  <c r="I271" i="7"/>
  <c r="I272" i="7"/>
  <c r="I273" i="7"/>
  <c r="I274" i="7"/>
  <c r="I275" i="7"/>
  <c r="I276" i="7"/>
  <c r="I277" i="7"/>
  <c r="I278" i="7"/>
  <c r="I279" i="7"/>
  <c r="I280" i="7"/>
  <c r="I281" i="7"/>
  <c r="I282" i="7"/>
  <c r="I283" i="7"/>
  <c r="I284" i="7"/>
  <c r="I285" i="7"/>
  <c r="I286" i="7"/>
  <c r="I287" i="7"/>
  <c r="I288" i="7"/>
  <c r="I289" i="7"/>
  <c r="I290" i="7"/>
  <c r="I291" i="7"/>
  <c r="I292" i="7"/>
  <c r="I293" i="7"/>
  <c r="I294" i="7"/>
  <c r="I295" i="7"/>
  <c r="I296" i="7"/>
  <c r="I297" i="7"/>
  <c r="I298" i="7"/>
  <c r="I299" i="7"/>
  <c r="I300" i="7"/>
  <c r="I301" i="7"/>
  <c r="I302" i="7"/>
  <c r="I303" i="7"/>
  <c r="I304" i="7"/>
  <c r="I305" i="7"/>
  <c r="I306" i="7"/>
  <c r="I307" i="7"/>
  <c r="I308" i="7"/>
  <c r="I309" i="7"/>
  <c r="I310" i="7"/>
  <c r="I311" i="7"/>
  <c r="I312" i="7"/>
  <c r="I313" i="7"/>
  <c r="I314" i="7"/>
  <c r="I315" i="7"/>
  <c r="I316" i="7"/>
  <c r="I317" i="7"/>
  <c r="I318" i="7"/>
  <c r="I319" i="7"/>
  <c r="I320" i="7"/>
  <c r="I321" i="7"/>
  <c r="I322" i="7"/>
  <c r="I323" i="7"/>
  <c r="I324" i="7"/>
  <c r="I325" i="7"/>
  <c r="I326" i="7"/>
  <c r="I327" i="7"/>
  <c r="I328" i="7"/>
  <c r="I329" i="7"/>
  <c r="I330" i="7"/>
  <c r="I331" i="7"/>
  <c r="I332" i="7"/>
  <c r="I333" i="7"/>
  <c r="I334" i="7"/>
  <c r="I335" i="7"/>
  <c r="I336" i="7"/>
  <c r="I337" i="7"/>
  <c r="I338" i="7"/>
  <c r="I339" i="7"/>
  <c r="I340" i="7"/>
  <c r="I341" i="7"/>
  <c r="I342" i="7"/>
  <c r="I343" i="7"/>
  <c r="I344" i="7"/>
  <c r="I345" i="7"/>
  <c r="I346" i="7"/>
  <c r="I347" i="7"/>
  <c r="I348" i="7"/>
  <c r="I349" i="7"/>
  <c r="I350" i="7"/>
  <c r="I351" i="7"/>
  <c r="I352" i="7"/>
  <c r="I353" i="7"/>
  <c r="I354" i="7"/>
  <c r="I355" i="7"/>
  <c r="I356" i="7"/>
  <c r="I357" i="7"/>
  <c r="I358" i="7"/>
  <c r="I359" i="7"/>
  <c r="I360" i="7"/>
  <c r="I361" i="7"/>
  <c r="I362" i="7"/>
  <c r="I363" i="7"/>
  <c r="I364" i="7"/>
  <c r="I365" i="7"/>
  <c r="I366" i="7"/>
  <c r="I367" i="7"/>
  <c r="I368" i="7"/>
  <c r="I369" i="7"/>
  <c r="I370" i="7"/>
  <c r="I371" i="7"/>
  <c r="I372" i="7"/>
  <c r="I373" i="7"/>
  <c r="I374" i="7"/>
  <c r="I375" i="7"/>
  <c r="I376" i="7"/>
  <c r="I377" i="7"/>
  <c r="I378" i="7"/>
  <c r="I379" i="7"/>
  <c r="I380" i="7"/>
  <c r="I381" i="7"/>
  <c r="I382" i="7"/>
  <c r="I383" i="7"/>
  <c r="I384" i="7"/>
  <c r="I385" i="7"/>
  <c r="I386" i="7"/>
  <c r="I387" i="7"/>
  <c r="I388" i="7"/>
  <c r="I389" i="7"/>
  <c r="I390" i="7"/>
  <c r="I391" i="7"/>
  <c r="I392" i="7"/>
  <c r="I393" i="7"/>
  <c r="I394" i="7"/>
  <c r="I395" i="7"/>
  <c r="I396" i="7"/>
  <c r="I397" i="7"/>
  <c r="A8" i="6" l="1"/>
  <c r="A30" i="7"/>
  <c r="H30" i="7"/>
  <c r="I30" i="7"/>
  <c r="A4" i="1" l="1"/>
  <c r="A5" i="1"/>
  <c r="A6" i="1"/>
  <c r="A7" i="1"/>
  <c r="A8" i="1"/>
  <c r="A9" i="1"/>
  <c r="A4" i="3"/>
  <c r="A5" i="3"/>
  <c r="A6" i="3"/>
  <c r="A7" i="3"/>
  <c r="A8" i="3"/>
  <c r="A9" i="3"/>
  <c r="A10" i="3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A2" i="7" l="1"/>
  <c r="A3" i="7"/>
  <c r="A4" i="7"/>
  <c r="A5" i="7"/>
  <c r="A2" i="6"/>
  <c r="A3" i="6"/>
  <c r="A4" i="6"/>
  <c r="A5" i="6"/>
  <c r="A6" i="6"/>
  <c r="A7" i="6"/>
  <c r="A2" i="5"/>
  <c r="A3" i="5"/>
  <c r="A4" i="5"/>
  <c r="A2" i="3"/>
  <c r="A3" i="3"/>
  <c r="A2" i="1"/>
  <c r="A3" i="1"/>
  <c r="H3" i="7"/>
  <c r="H4" i="7"/>
  <c r="H5" i="7"/>
  <c r="I3" i="7"/>
  <c r="I4" i="7"/>
  <c r="I5" i="7"/>
  <c r="I2" i="7" l="1"/>
  <c r="H2" i="7"/>
</calcChain>
</file>

<file path=xl/connections.xml><?xml version="1.0" encoding="utf-8"?>
<connections xmlns="http://schemas.openxmlformats.org/spreadsheetml/2006/main">
  <connection id="1" name="LinkedTable_Table11" type="102" refreshedVersion="6" minRefreshableVersion="5">
    <extLst>
      <ext xmlns:x15="http://schemas.microsoft.com/office/spreadsheetml/2010/11/main" uri="{DE250136-89BD-433C-8126-D09CA5730AF9}">
        <x15:connection id="Table11">
          <x15:rangePr sourceName="_xlcn.LinkedTable_Table111"/>
        </x15:connection>
      </ext>
    </extLst>
  </connection>
  <connection id="2" name="m_ofs_batch_start" type="4" refreshedVersion="0" background="1">
    <webPr xml="1" sourceData="1" url="C:\Users\deferbrw\OneDrive - kochind.com\Documents\InformaticaExports\OFS\m_ofs_batch_start.XML" htmlTables="1" htmlFormat="all"/>
  </connection>
  <connection id="3" name="m_ofs_roe_datamart_gl_staging" type="4" refreshedVersion="0" background="1">
    <webPr xml="1" sourceData="1" url="M_OFS_TREX_AR_INVOICES.XML" htmlTables="1" htmlFormat="all"/>
  </connection>
  <connection id="4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<sst xmlns="http://schemas.openxmlformats.org/spreadsheetml/2006/main" count="14451" uniqueCount="1063">
  <si>
    <t>SOURCE_NAME</t>
  </si>
  <si>
    <t>Oracle</t>
  </si>
  <si>
    <t>DESCRIPTION</t>
  </si>
  <si>
    <t>NAME</t>
  </si>
  <si>
    <t>SOURCE</t>
  </si>
  <si>
    <t>TYPE</t>
  </si>
  <si>
    <t>Expression</t>
  </si>
  <si>
    <t>Source Qualifier</t>
  </si>
  <si>
    <t>GENERAL</t>
  </si>
  <si>
    <t>DBDNAME</t>
  </si>
  <si>
    <t>FIELD_NAME</t>
  </si>
  <si>
    <t>FIELDNUMBER</t>
  </si>
  <si>
    <t>Microsoft SQL Server</t>
  </si>
  <si>
    <t>TARGET</t>
  </si>
  <si>
    <t>TRANSFORMATION</t>
  </si>
  <si>
    <t>FROMFIELD</t>
  </si>
  <si>
    <t>MAP</t>
  </si>
  <si>
    <t>VERSION</t>
  </si>
  <si>
    <t>REPOSITORY</t>
  </si>
  <si>
    <t>DATABASE</t>
  </si>
  <si>
    <t>DATABASE_TYPE</t>
  </si>
  <si>
    <t>VERSION_#</t>
  </si>
  <si>
    <t>DB_OWNER</t>
  </si>
  <si>
    <t>DB_DESCRIPTION</t>
  </si>
  <si>
    <t>DB_NAME</t>
  </si>
  <si>
    <t>DB_TYPE</t>
  </si>
  <si>
    <t>KEYTYPE</t>
  </si>
  <si>
    <t>FLD_KEY_TYPE</t>
  </si>
  <si>
    <t>NOT A KEY</t>
  </si>
  <si>
    <t>PRIMARY KEY</t>
  </si>
  <si>
    <t>NULLABLE</t>
  </si>
  <si>
    <t>NULL</t>
  </si>
  <si>
    <t>NOTNULL</t>
  </si>
  <si>
    <t>FLD_#</t>
  </si>
  <si>
    <t>DATATYPE</t>
  </si>
  <si>
    <t>FLD_NAME</t>
  </si>
  <si>
    <t>FLD_DESCRIPTION</t>
  </si>
  <si>
    <t>EXPRESSION</t>
  </si>
  <si>
    <t>EXPRESSIONTYPE</t>
  </si>
  <si>
    <t>PORTTYPE</t>
  </si>
  <si>
    <t>DEFAULTVALUE</t>
  </si>
  <si>
    <t>INPUT/OUTPUT</t>
  </si>
  <si>
    <t>OUTPUT</t>
  </si>
  <si>
    <t>ERROR('transformation error')</t>
  </si>
  <si>
    <t>integer</t>
  </si>
  <si>
    <t>date/time</t>
  </si>
  <si>
    <t>string</t>
  </si>
  <si>
    <t>double</t>
  </si>
  <si>
    <t>TRANSFORMATION_NAME</t>
  </si>
  <si>
    <t>TRANSFORMATION_TYPE</t>
  </si>
  <si>
    <t>ASSOCIATED_SRC_INSTANCE</t>
  </si>
  <si>
    <t>Target Definition</t>
  </si>
  <si>
    <t>Source Definition</t>
  </si>
  <si>
    <t>FROMINSTANCE</t>
  </si>
  <si>
    <t>FROMINSTANCETYPE</t>
  </si>
  <si>
    <t>TOINSTANCE</t>
  </si>
  <si>
    <t>TOFIELD</t>
  </si>
  <si>
    <t>TOINSTANCETYPE</t>
  </si>
  <si>
    <t>ToComposite</t>
  </si>
  <si>
    <t>FromComposite</t>
  </si>
  <si>
    <t>SOURCE_INSTANCE</t>
  </si>
  <si>
    <t>SOURCE_FIELD</t>
  </si>
  <si>
    <t>SOURCE TYPE</t>
  </si>
  <si>
    <t>TARGET_INSTANCE</t>
  </si>
  <si>
    <t>TARGET_FIELD</t>
  </si>
  <si>
    <t>TARGET TYPE</t>
  </si>
  <si>
    <t>Update Strategy</t>
  </si>
  <si>
    <t>Lookup Procedure</t>
  </si>
  <si>
    <t>LOOKUP/OUTPUT</t>
  </si>
  <si>
    <t>Note: The import will Edit the XML (so Excel will not throw up when parsing it)</t>
  </si>
  <si>
    <t>Column1</t>
  </si>
  <si>
    <t>Column2</t>
  </si>
  <si>
    <t>INTERMEDIATE_STEPS (working target to source)</t>
  </si>
  <si>
    <t>Maps In The Workbook</t>
  </si>
  <si>
    <t>Folder</t>
  </si>
  <si>
    <t>Column3</t>
  </si>
  <si>
    <t>Folder Name</t>
  </si>
  <si>
    <t>MapName</t>
  </si>
  <si>
    <t>Folder Discription</t>
  </si>
  <si>
    <t>Folder UUID</t>
  </si>
  <si>
    <t>Folder Owner</t>
  </si>
  <si>
    <t>Administrator</t>
  </si>
  <si>
    <t>Don't Delete or Change, Used in Processing</t>
  </si>
  <si>
    <t>number</t>
  </si>
  <si>
    <t>varchar2</t>
  </si>
  <si>
    <t>date</t>
  </si>
  <si>
    <t>ASSOCIATED_SRC_INSTANCE_NAME</t>
  </si>
  <si>
    <t>TREX_OFS</t>
  </si>
  <si>
    <t>fcdf1791-4d15-4320-adbb-ac15cce13677</t>
  </si>
  <si>
    <t>informatica_PROD</t>
  </si>
  <si>
    <t>m_ofs_trex_ar_invoices</t>
  </si>
  <si>
    <t>ofs_ar_invoices</t>
  </si>
  <si>
    <t>RA_BATCH_SOURCES_ALL</t>
  </si>
  <si>
    <t>AR_RECEIPT_METHODS</t>
  </si>
  <si>
    <t>FND_FLEX_VALUES</t>
  </si>
  <si>
    <t>RA_TERMS_TL</t>
  </si>
  <si>
    <t>AR_PAYMENT_SCHEDULES_ALL</t>
  </si>
  <si>
    <t>AR_RECEIVABLE_APPLICATIONS_ALL</t>
  </si>
  <si>
    <t>RA_CUST_TRX_TYPES_ALL</t>
  </si>
  <si>
    <t>XX_IA_INCREMENTAL_DATES</t>
  </si>
  <si>
    <t>FND_USER</t>
  </si>
  <si>
    <t>GL_CODE_COMBINATIONS</t>
  </si>
  <si>
    <t>RA_CUSTOMER_TRX_ALL</t>
  </si>
  <si>
    <t>RA_CUST_TRX_LINE_GL_DIST_ALL</t>
  </si>
  <si>
    <t>HZ_PARTIES</t>
  </si>
  <si>
    <t>OFS_Sources</t>
  </si>
  <si>
    <t>dbo</t>
  </si>
  <si>
    <t>AR</t>
  </si>
  <si>
    <t>APPS</t>
  </si>
  <si>
    <t>IA_USER</t>
  </si>
  <si>
    <t>APPLSYS</t>
  </si>
  <si>
    <t>GL</t>
  </si>
  <si>
    <t>invoice_rec_id</t>
  </si>
  <si>
    <t>etl_trans_id</t>
  </si>
  <si>
    <t>extn_sys_cd</t>
  </si>
  <si>
    <t>batch_id</t>
  </si>
  <si>
    <t>batch_name</t>
  </si>
  <si>
    <t>org_id</t>
  </si>
  <si>
    <t>batch_source_id</t>
  </si>
  <si>
    <t>company</t>
  </si>
  <si>
    <t>company_description</t>
  </si>
  <si>
    <t>account_number</t>
  </si>
  <si>
    <t>party_name</t>
  </si>
  <si>
    <t>customer_trx_id</t>
  </si>
  <si>
    <t>invoice_number</t>
  </si>
  <si>
    <t>kme_ar_inv_no</t>
  </si>
  <si>
    <t>kme_ar_inv_amd_no</t>
  </si>
  <si>
    <t>invoice_date</t>
  </si>
  <si>
    <t>due_date</t>
  </si>
  <si>
    <t>offset_nat_acct_no</t>
  </si>
  <si>
    <t>transaction_type</t>
  </si>
  <si>
    <t>acctd_amount</t>
  </si>
  <si>
    <t>amount</t>
  </si>
  <si>
    <t>acctd_amount_applied_to</t>
  </si>
  <si>
    <t>amount_applied</t>
  </si>
  <si>
    <t>acctd_amount_due_remaining</t>
  </si>
  <si>
    <t>amount_due_remaining</t>
  </si>
  <si>
    <t>currency_code</t>
  </si>
  <si>
    <t>payment_terms</t>
  </si>
  <si>
    <t>receipt_method</t>
  </si>
  <si>
    <t>created_by</t>
  </si>
  <si>
    <t>last_updated_by</t>
  </si>
  <si>
    <t>invoice_creation_date</t>
  </si>
  <si>
    <t>invoice_last_update_date</t>
  </si>
  <si>
    <t>invoice_gl_posted_date</t>
  </si>
  <si>
    <t>invoice_gl_date</t>
  </si>
  <si>
    <t>aud_dim_id</t>
  </si>
  <si>
    <t>prcs_sts_cd</t>
  </si>
  <si>
    <t>confm_intf_sts_cd</t>
  </si>
  <si>
    <t>cre_user_cd</t>
  </si>
  <si>
    <t>cre_ts</t>
  </si>
  <si>
    <t>mod_user_cd</t>
  </si>
  <si>
    <t>mod_ts</t>
  </si>
  <si>
    <t>BATCH_SOURCE_ID</t>
  </si>
  <si>
    <t>LAST_UPDATE_DATE</t>
  </si>
  <si>
    <t>LAST_UPDATED_BY</t>
  </si>
  <si>
    <t>CREATION_DATE</t>
  </si>
  <si>
    <t>CREATED_BY</t>
  </si>
  <si>
    <t>LAST_UPDATE_LOGIN</t>
  </si>
  <si>
    <t>ORG_ID</t>
  </si>
  <si>
    <t>STATUS</t>
  </si>
  <si>
    <t>LAST_BATCH_NUM</t>
  </si>
  <si>
    <t>DEFAULT_INV_TRX_TYPE</t>
  </si>
  <si>
    <t>ATTRIBUTE_CATEGORY</t>
  </si>
  <si>
    <t>ATTRIBUTE1</t>
  </si>
  <si>
    <t>ATTRIBUTE2</t>
  </si>
  <si>
    <t>ATTRIBUTE3</t>
  </si>
  <si>
    <t>ATTRIBUTE4</t>
  </si>
  <si>
    <t>ATTRIBUTE5</t>
  </si>
  <si>
    <t>ATTRIBUTE6</t>
  </si>
  <si>
    <t>ATTRIBUTE7</t>
  </si>
  <si>
    <t>ATTRIBUTE8</t>
  </si>
  <si>
    <t>ATTRIBUTE9</t>
  </si>
  <si>
    <t>ATTRIBUTE10</t>
  </si>
  <si>
    <t>ACCOUNTING_FLEXFIELD_RULE</t>
  </si>
  <si>
    <t>ACCOUNTING_RULE_RULE</t>
  </si>
  <si>
    <t>AGREEMENT_RULE</t>
  </si>
  <si>
    <t>AUTO_BATCH_NUMBERING_FLAG</t>
  </si>
  <si>
    <t>AUTO_TRX_NUMBERING_FLAG</t>
  </si>
  <si>
    <t>BATCH_SOURCE_TYPE</t>
  </si>
  <si>
    <t>BILL_ADDRESS_RULE</t>
  </si>
  <si>
    <t>BILL_CONTACT_RULE</t>
  </si>
  <si>
    <t>BILL_CUSTOMER_RULE</t>
  </si>
  <si>
    <t>CREATE_CLEARING_FLAG</t>
  </si>
  <si>
    <t>CUST_TRX_TYPE_RULE</t>
  </si>
  <si>
    <t>DERIVE_DATE_FLAG</t>
  </si>
  <si>
    <t>END_DATE</t>
  </si>
  <si>
    <t>FOB_POINT_RULE</t>
  </si>
  <si>
    <t>GL_DATE_PERIOD_RULE</t>
  </si>
  <si>
    <t>INVALID_LINES_RULE</t>
  </si>
  <si>
    <t>INVALID_TAX_RATE_RULE</t>
  </si>
  <si>
    <t>INVENTORY_ITEM_RULE</t>
  </si>
  <si>
    <t>INVOICING_RULE_RULE</t>
  </si>
  <si>
    <t>MEMO_REASON_RULE</t>
  </si>
  <si>
    <t>REV_ACC_ALLOCATION_RULE</t>
  </si>
  <si>
    <t>SALESPERSON_RULE</t>
  </si>
  <si>
    <t>SALES_CREDIT_RULE</t>
  </si>
  <si>
    <t>SALES_CREDIT_TYPE_RULE</t>
  </si>
  <si>
    <t>SALES_TERRITORY_RULE</t>
  </si>
  <si>
    <t>SHIP_ADDRESS_RULE</t>
  </si>
  <si>
    <t>SHIP_CONTACT_RULE</t>
  </si>
  <si>
    <t>SHIP_CUSTOMER_RULE</t>
  </si>
  <si>
    <t>SHIP_VIA_RULE</t>
  </si>
  <si>
    <t>SOLD_CUSTOMER_RULE</t>
  </si>
  <si>
    <t>START_DATE</t>
  </si>
  <si>
    <t>TERM_RULE</t>
  </si>
  <si>
    <t>UNIT_OF_MEASURE_RULE</t>
  </si>
  <si>
    <t>ATTRIBUTE11</t>
  </si>
  <si>
    <t>ATTRIBUTE12</t>
  </si>
  <si>
    <t>ATTRIBUTE13</t>
  </si>
  <si>
    <t>ATTRIBUTE14</t>
  </si>
  <si>
    <t>ATTRIBUTE15</t>
  </si>
  <si>
    <t>CUSTOMER_BANK_ACCOUNT_RULE</t>
  </si>
  <si>
    <t>MEMO_LINE_RULE</t>
  </si>
  <si>
    <t>RECEIPT_METHOD_RULE</t>
  </si>
  <si>
    <t>RELATED_DOCUMENT_RULE</t>
  </si>
  <si>
    <t>ALLOW_SALES_CREDIT_FLAG</t>
  </si>
  <si>
    <t>GROUPING_RULE_ID</t>
  </si>
  <si>
    <t>CREDIT_MEMO_BATCH_SOURCE_ID</t>
  </si>
  <si>
    <t>GLOBAL_ATTRIBUTE1</t>
  </si>
  <si>
    <t>GLOBAL_ATTRIBUTE2</t>
  </si>
  <si>
    <t>GLOBAL_ATTRIBUTE3</t>
  </si>
  <si>
    <t>GLOBAL_ATTRIBUTE4</t>
  </si>
  <si>
    <t>GLOBAL_ATTRIBUTE5</t>
  </si>
  <si>
    <t>GLOBAL_ATTRIBUTE6</t>
  </si>
  <si>
    <t>GLOBAL_ATTRIBUTE7</t>
  </si>
  <si>
    <t>GLOBAL_ATTRIBUTE8</t>
  </si>
  <si>
    <t>GLOBAL_ATTRIBUTE9</t>
  </si>
  <si>
    <t>GLOBAL_ATTRIBUTE10</t>
  </si>
  <si>
    <t>GLOBAL_ATTRIBUTE11</t>
  </si>
  <si>
    <t>GLOBAL_ATTRIBUTE12</t>
  </si>
  <si>
    <t>GLOBAL_ATTRIBUTE13</t>
  </si>
  <si>
    <t>GLOBAL_ATTRIBUTE14</t>
  </si>
  <si>
    <t>GLOBAL_ATTRIBUTE15</t>
  </si>
  <si>
    <t>GLOBAL_ATTRIBUTE16</t>
  </si>
  <si>
    <t>GLOBAL_ATTRIBUTE17</t>
  </si>
  <si>
    <t>GLOBAL_ATTRIBUTE18</t>
  </si>
  <si>
    <t>GLOBAL_ATTRIBUTE19</t>
  </si>
  <si>
    <t>GLOBAL_ATTRIBUTE20</t>
  </si>
  <si>
    <t>GLOBAL_ATTRIBUTE_CATEGORY</t>
  </si>
  <si>
    <t>COPY_DOC_NUMBER_FLAG</t>
  </si>
  <si>
    <t>DEFAULT_REFERENCE</t>
  </si>
  <si>
    <t>COPY_INV_TIDFF_TO_CM_FLAG</t>
  </si>
  <si>
    <t>RECEIPT_HANDLING_OPTION</t>
  </si>
  <si>
    <t>ALLOW_DUPLICATE_TRX_NUM_FLAG</t>
  </si>
  <si>
    <t>RECEIPT_METHOD_ID</t>
  </si>
  <si>
    <t>RECEIPT_CLASS_ID</t>
  </si>
  <si>
    <t>AUTO_PRINT_PROGRAM_ID</t>
  </si>
  <si>
    <t>AUTO_TRANS_PROGRAM_ID</t>
  </si>
  <si>
    <t>LEAD_DAYS</t>
  </si>
  <si>
    <t>MATURITY_DATE_RULE_CODE</t>
  </si>
  <si>
    <t>RECEIPT_CREATION_RULE_CODE</t>
  </si>
  <si>
    <t>PRINTED_NAME</t>
  </si>
  <si>
    <t>PAYMENT_TYPE_CODE</t>
  </si>
  <si>
    <t>MERCHANT_ID</t>
  </si>
  <si>
    <t>RECEIPT_INHERIT_INV_NUM_FLAG</t>
  </si>
  <si>
    <t>DM_INHERIT_RECEIPT_NUM_FLAG</t>
  </si>
  <si>
    <t>BR_CUST_TRX_TYPE_ID</t>
  </si>
  <si>
    <t>BR_MIN_ACCTD_AMOUNT</t>
  </si>
  <si>
    <t>BR_MAX_ACCTD_AMOUNT</t>
  </si>
  <si>
    <t>BR_INHERIT_INV_NUM_FLAG</t>
  </si>
  <si>
    <t>MERCHANT_REF</t>
  </si>
  <si>
    <t>FLEX_VALUE_SET_ID</t>
  </si>
  <si>
    <t>FLEX_VALUE_ID</t>
  </si>
  <si>
    <t>FLEX_VALUE</t>
  </si>
  <si>
    <t>ENABLED_FLAG</t>
  </si>
  <si>
    <t>SUMMARY_FLAG</t>
  </si>
  <si>
    <t>START_DATE_ACTIVE</t>
  </si>
  <si>
    <t>END_DATE_ACTIVE</t>
  </si>
  <si>
    <t>PARENT_FLEX_VALUE_LOW</t>
  </si>
  <si>
    <t>PARENT_FLEX_VALUE_HIGH</t>
  </si>
  <si>
    <t>STRUCTURED_HIERARCHY_LEVEL</t>
  </si>
  <si>
    <t>HIERARCHY_LEVEL</t>
  </si>
  <si>
    <t>COMPILED_VALUE_ATTRIBUTES</t>
  </si>
  <si>
    <t>VALUE_CATEGORY</t>
  </si>
  <si>
    <t>ATTRIBUTE16</t>
  </si>
  <si>
    <t>ATTRIBUTE17</t>
  </si>
  <si>
    <t>ATTRIBUTE18</t>
  </si>
  <si>
    <t>ATTRIBUTE19</t>
  </si>
  <si>
    <t>ATTRIBUTE20</t>
  </si>
  <si>
    <t>ATTRIBUTE21</t>
  </si>
  <si>
    <t>ATTRIBUTE22</t>
  </si>
  <si>
    <t>ATTRIBUTE23</t>
  </si>
  <si>
    <t>ATTRIBUTE24</t>
  </si>
  <si>
    <t>ATTRIBUTE25</t>
  </si>
  <si>
    <t>ATTRIBUTE26</t>
  </si>
  <si>
    <t>ATTRIBUTE27</t>
  </si>
  <si>
    <t>ATTRIBUTE28</t>
  </si>
  <si>
    <t>ATTRIBUTE29</t>
  </si>
  <si>
    <t>ATTRIBUTE30</t>
  </si>
  <si>
    <t>ATTRIBUTE31</t>
  </si>
  <si>
    <t>ATTRIBUTE32</t>
  </si>
  <si>
    <t>ATTRIBUTE33</t>
  </si>
  <si>
    <t>ATTRIBUTE34</t>
  </si>
  <si>
    <t>ATTRIBUTE35</t>
  </si>
  <si>
    <t>ATTRIBUTE36</t>
  </si>
  <si>
    <t>ATTRIBUTE37</t>
  </si>
  <si>
    <t>ATTRIBUTE38</t>
  </si>
  <si>
    <t>ATTRIBUTE39</t>
  </si>
  <si>
    <t>ATTRIBUTE40</t>
  </si>
  <si>
    <t>ATTRIBUTE41</t>
  </si>
  <si>
    <t>ATTRIBUTE42</t>
  </si>
  <si>
    <t>ATTRIBUTE43</t>
  </si>
  <si>
    <t>ATTRIBUTE44</t>
  </si>
  <si>
    <t>ATTRIBUTE45</t>
  </si>
  <si>
    <t>ATTRIBUTE46</t>
  </si>
  <si>
    <t>ATTRIBUTE47</t>
  </si>
  <si>
    <t>ATTRIBUTE48</t>
  </si>
  <si>
    <t>ATTRIBUTE49</t>
  </si>
  <si>
    <t>ATTRIBUTE50</t>
  </si>
  <si>
    <t>ATTRIBUTE_SORT_ORDER</t>
  </si>
  <si>
    <t>TERM_ID</t>
  </si>
  <si>
    <t>LANGUAGE</t>
  </si>
  <si>
    <t>SOURCE_LANG</t>
  </si>
  <si>
    <t>PAYMENT_SCHEDULE_ID</t>
  </si>
  <si>
    <t>STAGED_DUNNING_LEVEL</t>
  </si>
  <si>
    <t>DUNNING_LEVEL_OVERRIDE_DATE</t>
  </si>
  <si>
    <t>DUE_DATE</t>
  </si>
  <si>
    <t>AMOUNT_DUE_ORIGINAL</t>
  </si>
  <si>
    <t>AMOUNT_DUE_REMAINING</t>
  </si>
  <si>
    <t>NUMBER_OF_DUE_DATES</t>
  </si>
  <si>
    <t>INVOICE_CURRENCY_CODE</t>
  </si>
  <si>
    <t>CLASS</t>
  </si>
  <si>
    <t>CUST_TRX_TYPE_ID</t>
  </si>
  <si>
    <t>CUSTOMER_ID</t>
  </si>
  <si>
    <t>CUSTOMER_SITE_USE_ID</t>
  </si>
  <si>
    <t>CUSTOMER_TRX_ID</t>
  </si>
  <si>
    <t>CASH_RECEIPT_ID</t>
  </si>
  <si>
    <t>ASSOCIATED_CASH_RECEIPT_ID</t>
  </si>
  <si>
    <t>TERMS_SEQUENCE_NUMBER</t>
  </si>
  <si>
    <t>GL_DATE_CLOSED</t>
  </si>
  <si>
    <t>ACTUAL_DATE_CLOSED</t>
  </si>
  <si>
    <t>DISCOUNT_DATE</t>
  </si>
  <si>
    <t>AMOUNT_LINE_ITEMS_ORIGINAL</t>
  </si>
  <si>
    <t>AMOUNT_LINE_ITEMS_REMAINING</t>
  </si>
  <si>
    <t>AMOUNT_APPLIED</t>
  </si>
  <si>
    <t>AMOUNT_ADJUSTED</t>
  </si>
  <si>
    <t>AMOUNT_IN_DISPUTE</t>
  </si>
  <si>
    <t>AMOUNT_CREDITED</t>
  </si>
  <si>
    <t>RECEIVABLES_CHARGES_CHARGED</t>
  </si>
  <si>
    <t>RECEIVABLES_CHARGES_REMAINING</t>
  </si>
  <si>
    <t>FREIGHT_ORIGINAL</t>
  </si>
  <si>
    <t>FREIGHT_REMAINING</t>
  </si>
  <si>
    <t>TAX_ORIGINAL</t>
  </si>
  <si>
    <t>TAX_REMAINING</t>
  </si>
  <si>
    <t>DISCOUNT_ORIGINAL</t>
  </si>
  <si>
    <t>DISCOUNT_REMAINING</t>
  </si>
  <si>
    <t>DISCOUNT_TAKEN_EARNED</t>
  </si>
  <si>
    <t>DISCOUNT_TAKEN_UNEARNED</t>
  </si>
  <si>
    <t>IN_COLLECTION</t>
  </si>
  <si>
    <t>CASH_APPLIED_ID_LAST</t>
  </si>
  <si>
    <t>CASH_APPLIED_DATE_LAST</t>
  </si>
  <si>
    <t>CASH_APPLIED_AMOUNT_LAST</t>
  </si>
  <si>
    <t>CASH_APPLIED_STATUS_LAST</t>
  </si>
  <si>
    <t>CASH_GL_DATE_LAST</t>
  </si>
  <si>
    <t>CASH_RECEIPT_ID_LAST</t>
  </si>
  <si>
    <t>CASH_RECEIPT_DATE_LAST</t>
  </si>
  <si>
    <t>CASH_RECEIPT_AMOUNT_LAST</t>
  </si>
  <si>
    <t>CASH_RECEIPT_STATUS_LAST</t>
  </si>
  <si>
    <t>EXCHANGE_RATE_TYPE</t>
  </si>
  <si>
    <t>EXCHANGE_DATE</t>
  </si>
  <si>
    <t>EXCHANGE_RATE</t>
  </si>
  <si>
    <t>ADJUSTMENT_ID_LAST</t>
  </si>
  <si>
    <t>ADJUSTMENT_DATE_LAST</t>
  </si>
  <si>
    <t>ADJUSTMENT_GL_DATE_LAST</t>
  </si>
  <si>
    <t>ADJUSTMENT_AMOUNT_LAST</t>
  </si>
  <si>
    <t>FOLLOW_UP_DATE_LAST</t>
  </si>
  <si>
    <t>FOLLOW_UP_CODE_LAST</t>
  </si>
  <si>
    <t>PROMISE_DATE_LAST</t>
  </si>
  <si>
    <t>PROMISE_AMOUNT_LAST</t>
  </si>
  <si>
    <t>COLLECTOR_LAST</t>
  </si>
  <si>
    <t>CALL_DATE_LAST</t>
  </si>
  <si>
    <t>TRX_NUMBER</t>
  </si>
  <si>
    <t>TRX_DATE</t>
  </si>
  <si>
    <t>REVERSED_CASH_RECEIPT_ID</t>
  </si>
  <si>
    <t>AMOUNT_ADJUSTED_PENDING</t>
  </si>
  <si>
    <t>GL_DATE</t>
  </si>
  <si>
    <t>ACCTD_AMOUNT_DUE_REMAINING</t>
  </si>
  <si>
    <t>PROGRAM_APPLICATION_ID</t>
  </si>
  <si>
    <t>PROGRAM_ID</t>
  </si>
  <si>
    <t>PROGRAM_UPDATE_DATE</t>
  </si>
  <si>
    <t>RECEIPT_CONFIRMED_FLAG</t>
  </si>
  <si>
    <t>REQUEST_ID</t>
  </si>
  <si>
    <t>SELECTED_FOR_RECEIPT_BATCH_ID</t>
  </si>
  <si>
    <t>LAST_CHARGE_DATE</t>
  </si>
  <si>
    <t>SECOND_LAST_CHARGE_DATE</t>
  </si>
  <si>
    <t>DISPUTE_DATE</t>
  </si>
  <si>
    <t>CONS_INV_ID</t>
  </si>
  <si>
    <t>CONS_INV_ID_REV</t>
  </si>
  <si>
    <t>EXCLUDE_FROM_DUNNING_FLAG</t>
  </si>
  <si>
    <t>MRC_CUSTOMER_TRX_ID</t>
  </si>
  <si>
    <t>MRC_EXCHANGE_RATE_TYPE</t>
  </si>
  <si>
    <t>MRC_EXCHANGE_DATE</t>
  </si>
  <si>
    <t>MRC_EXCHANGE_RATE</t>
  </si>
  <si>
    <t>MRC_ACCTD_AMOUNT_DUE_REMAINING</t>
  </si>
  <si>
    <t>BR_AMOUNT_ASSIGNED</t>
  </si>
  <si>
    <t>RESERVED_TYPE</t>
  </si>
  <si>
    <t>RESERVED_VALUE</t>
  </si>
  <si>
    <t>ACTIVE_CLAIM_FLAG</t>
  </si>
  <si>
    <t>EXCLUDE_FROM_CONS_BILL_FLAG</t>
  </si>
  <si>
    <t>LAST_UNACCRUE_CHRG_DATE</t>
  </si>
  <si>
    <t>SECOND_LAST_UNACCRUE_CHRG_DT</t>
  </si>
  <si>
    <t>PAYMENT_APPROVAL</t>
  </si>
  <si>
    <t>RECEIVABLE_APPLICATION_ID</t>
  </si>
  <si>
    <t>CODE_COMBINATION_ID</t>
  </si>
  <si>
    <t>SET_OF_BOOKS_ID</t>
  </si>
  <si>
    <t>DISPLAY</t>
  </si>
  <si>
    <t>APPLY_DATE</t>
  </si>
  <si>
    <t>APPLICATION_TYPE</t>
  </si>
  <si>
    <t>APPLIED_CUSTOMER_TRX_ID</t>
  </si>
  <si>
    <t>APPLIED_CUSTOMER_TRX_LINE_ID</t>
  </si>
  <si>
    <t>APPLIED_PAYMENT_SCHEDULE_ID</t>
  </si>
  <si>
    <t>LINE_APPLIED</t>
  </si>
  <si>
    <t>TAX_APPLIED</t>
  </si>
  <si>
    <t>FREIGHT_APPLIED</t>
  </si>
  <si>
    <t>RECEIVABLES_CHARGES_APPLIED</t>
  </si>
  <si>
    <t>ON_ACCOUNT_CUSTOMER</t>
  </si>
  <si>
    <t>RECEIVABLES_TRX_ID</t>
  </si>
  <si>
    <t>EARNED_DISCOUNT_TAKEN</t>
  </si>
  <si>
    <t>UNEARNED_DISCOUNT_TAKEN</t>
  </si>
  <si>
    <t>DAYS_LATE</t>
  </si>
  <si>
    <t>APPLICATION_RULE</t>
  </si>
  <si>
    <t>GL_POSTED_DATE</t>
  </si>
  <si>
    <t>COMMENTS</t>
  </si>
  <si>
    <t>POSTABLE</t>
  </si>
  <si>
    <t>POSTING_CONTROL_ID</t>
  </si>
  <si>
    <t>ACCTD_AMOUNT_APPLIED_FROM</t>
  </si>
  <si>
    <t>ACCTD_AMOUNT_APPLIED_TO</t>
  </si>
  <si>
    <t>ACCTD_EARNED_DISCOUNT_TAKEN</t>
  </si>
  <si>
    <t>CONFIRMED_FLAG</t>
  </si>
  <si>
    <t>USSGL_TRANSACTION_CODE</t>
  </si>
  <si>
    <t>USSGL_TRANSACTION_CODE_CONTEXT</t>
  </si>
  <si>
    <t>EARNED_DISCOUNT_CCID</t>
  </si>
  <si>
    <t>UNEARNED_DISCOUNT_CCID</t>
  </si>
  <si>
    <t>ACCTD_UNEARNED_DISCOUNT_TAKEN</t>
  </si>
  <si>
    <t>REVERSAL_GL_DATE</t>
  </si>
  <si>
    <t>REVERSAL_GL_DATE_CONTEXT</t>
  </si>
  <si>
    <t>CASH_RECEIPT_HISTORY_ID</t>
  </si>
  <si>
    <t>TAX_CODE</t>
  </si>
  <si>
    <t>CONS_INV_ID_TO</t>
  </si>
  <si>
    <t>AMOUNT_APPLIED_FROM</t>
  </si>
  <si>
    <t>TRANS_TO_RECEIPT_RATE</t>
  </si>
  <si>
    <t>RULE_SET_ID</t>
  </si>
  <si>
    <t>LINE_EDISCOUNTED</t>
  </si>
  <si>
    <t>TAX_EDISCOUNTED</t>
  </si>
  <si>
    <t>FREIGHT_EDISCOUNTED</t>
  </si>
  <si>
    <t>CHARGES_EDISCOUNTED</t>
  </si>
  <si>
    <t>LINE_UEDISCOUNTED</t>
  </si>
  <si>
    <t>TAX_UEDISCOUNTED</t>
  </si>
  <si>
    <t>FREIGHT_UEDISCOUNTED</t>
  </si>
  <si>
    <t>CHARGES_UEDISCOUNTED</t>
  </si>
  <si>
    <t>MRC_AMOUNT_APPLIED</t>
  </si>
  <si>
    <t>MRC_AMOUNT_APPLIED_FROM</t>
  </si>
  <si>
    <t>MRC_DISPLAY</t>
  </si>
  <si>
    <t>MRC_STATUS</t>
  </si>
  <si>
    <t>MRC_PAYMENT_SCHEDULE_ID</t>
  </si>
  <si>
    <t>MRC_CASH_RECEIPT_ID</t>
  </si>
  <si>
    <t>MRC_GL_POSTED_DATE</t>
  </si>
  <si>
    <t>MRC_POSTING_CONTROL_ID</t>
  </si>
  <si>
    <t>MRC_ACCTD_AMOUNT_APPLIED_FROM</t>
  </si>
  <si>
    <t>MRC_ACCTD_AMOUNT_APPLIED_TO</t>
  </si>
  <si>
    <t>MRC_ACCTD_EARNED_DISC_TAKEN</t>
  </si>
  <si>
    <t>MRC_ACCTD_UNEARNED_DISC_TAKEN</t>
  </si>
  <si>
    <t>EDISC_TAX_ACCT_RULE</t>
  </si>
  <si>
    <t>UNEDISC_TAX_ACCT_RULE</t>
  </si>
  <si>
    <t>LINK_TO_TRX_HIST_ID</t>
  </si>
  <si>
    <t>LINK_TO_CUSTOMER_TRX_ID</t>
  </si>
  <si>
    <t>APPLICATION_REF_TYPE</t>
  </si>
  <si>
    <t>APPLICATION_REF_ID</t>
  </si>
  <si>
    <t>APPLICATION_REF_NUM</t>
  </si>
  <si>
    <t>CHARGEBACK_CUSTOMER_TRX_ID</t>
  </si>
  <si>
    <t>SECONDARY_APPLICATION_REF_ID</t>
  </si>
  <si>
    <t>PAYMENT_SET_ID</t>
  </si>
  <si>
    <t>APPLICATION_REF_REASON</t>
  </si>
  <si>
    <t>CUSTOMER_REFERENCE</t>
  </si>
  <si>
    <t>CUSTOMER_REASON</t>
  </si>
  <si>
    <t>APPLIED_REC_APP_ID</t>
  </si>
  <si>
    <t>SECONDARY_APPLICATION_REF_TYPE</t>
  </si>
  <si>
    <t>SECONDARY_APPLICATION_REF_NUM</t>
  </si>
  <si>
    <t>ON_ACCT_CUST_ID</t>
  </si>
  <si>
    <t>ON_ACCT_CUST_SITE_USE_ID</t>
  </si>
  <si>
    <t>ON_ACCT_PO_NUM</t>
  </si>
  <si>
    <t>INCLUDE_IN_ACCUMULATION</t>
  </si>
  <si>
    <t>POST_TO_GL</t>
  </si>
  <si>
    <t>ACCOUNTING_AFFECT_FLAG</t>
  </si>
  <si>
    <t>CREDIT_MEMO_TYPE_ID</t>
  </si>
  <si>
    <t>DEFAULT_TERM</t>
  </si>
  <si>
    <t>DEFAULT_PRINTING_OPTION</t>
  </si>
  <si>
    <t>DEFAULT_STATUS</t>
  </si>
  <si>
    <t>GL_ID_REV</t>
  </si>
  <si>
    <t>GL_ID_FREIGHT</t>
  </si>
  <si>
    <t>GL_ID_REC</t>
  </si>
  <si>
    <t>SUBSEQUENT_TRX_TYPE_ID</t>
  </si>
  <si>
    <t>ALLOW_FREIGHT_FLAG</t>
  </si>
  <si>
    <t>ALLOW_OVERAPPLICATION_FLAG</t>
  </si>
  <si>
    <t>CREATION_SIGN</t>
  </si>
  <si>
    <t>GL_ID_CLEARING</t>
  </si>
  <si>
    <t>GL_ID_TAX</t>
  </si>
  <si>
    <t>GL_ID_UNBILLED</t>
  </si>
  <si>
    <t>GL_ID_UNEARNED</t>
  </si>
  <si>
    <t>TAX_CALCULATION_FLAG</t>
  </si>
  <si>
    <t>NATURAL_APPLICATION_ONLY_FLAG</t>
  </si>
  <si>
    <t>SIGNED_FLAG</t>
  </si>
  <si>
    <t>DRAWEE_ISSUED_FLAG</t>
  </si>
  <si>
    <t>MAGNETIC_FORMAT_CODE</t>
  </si>
  <si>
    <t>FORMAT_PROGRAM_ID</t>
  </si>
  <si>
    <t>GL_ID_UNPAID_REC</t>
  </si>
  <si>
    <t>GL_ID_REMITTANCE</t>
  </si>
  <si>
    <t>GL_ID_FACTOR</t>
  </si>
  <si>
    <t>ALLOCATE_TAX_FREIGHT</t>
  </si>
  <si>
    <t>DESTINATION_SYSTEM</t>
  </si>
  <si>
    <t>MODULE</t>
  </si>
  <si>
    <t>USER_ID</t>
  </si>
  <si>
    <t>USER_NAME</t>
  </si>
  <si>
    <t>ENCRYPTED_FOUNDATION_PASSWORD</t>
  </si>
  <si>
    <t>ENCRYPTED_USER_PASSWORD</t>
  </si>
  <si>
    <t>SESSION_NUMBER</t>
  </si>
  <si>
    <t>LAST_LOGON_DATE</t>
  </si>
  <si>
    <t>PASSWORD_DATE</t>
  </si>
  <si>
    <t>PASSWORD_ACCESSES_LEFT</t>
  </si>
  <si>
    <t>PASSWORD_LIFESPAN_ACCESSES</t>
  </si>
  <si>
    <t>PASSWORD_LIFESPAN_DAYS</t>
  </si>
  <si>
    <t>EMPLOYEE_ID</t>
  </si>
  <si>
    <t>EMAIL_ADDRESS</t>
  </si>
  <si>
    <t>FAX</t>
  </si>
  <si>
    <t>SUPPLIER_ID</t>
  </si>
  <si>
    <t>WEB_PASSWORD</t>
  </si>
  <si>
    <t>USER_GUID</t>
  </si>
  <si>
    <t>GCN_CODE_COMBINATION_ID</t>
  </si>
  <si>
    <t>PERSON_PARTY_ID</t>
  </si>
  <si>
    <t>CHART_OF_ACCOUNTS_ID</t>
  </si>
  <si>
    <t>DETAIL_POSTING_ALLOWED_FLAG</t>
  </si>
  <si>
    <t>DETAIL_BUDGETING_ALLOWED_FLAG</t>
  </si>
  <si>
    <t>ACCOUNT_TYPE</t>
  </si>
  <si>
    <t>SEGMENT1</t>
  </si>
  <si>
    <t>SEGMENT2</t>
  </si>
  <si>
    <t>SEGMENT3</t>
  </si>
  <si>
    <t>SEGMENT4</t>
  </si>
  <si>
    <t>SEGMENT5</t>
  </si>
  <si>
    <t>SEGMENT6</t>
  </si>
  <si>
    <t>SEGMENT7</t>
  </si>
  <si>
    <t>SEGMENT8</t>
  </si>
  <si>
    <t>SEGMENT9</t>
  </si>
  <si>
    <t>SEGMENT10</t>
  </si>
  <si>
    <t>SEGMENT11</t>
  </si>
  <si>
    <t>SEGMENT12</t>
  </si>
  <si>
    <t>SEGMENT13</t>
  </si>
  <si>
    <t>SEGMENT14</t>
  </si>
  <si>
    <t>SEGMENT15</t>
  </si>
  <si>
    <t>SEGMENT16</t>
  </si>
  <si>
    <t>SEGMENT17</t>
  </si>
  <si>
    <t>SEGMENT18</t>
  </si>
  <si>
    <t>SEGMENT19</t>
  </si>
  <si>
    <t>SEGMENT20</t>
  </si>
  <si>
    <t>SEGMENT21</t>
  </si>
  <si>
    <t>SEGMENT22</t>
  </si>
  <si>
    <t>SEGMENT23</t>
  </si>
  <si>
    <t>SEGMENT24</t>
  </si>
  <si>
    <t>SEGMENT25</t>
  </si>
  <si>
    <t>SEGMENT26</t>
  </si>
  <si>
    <t>SEGMENT27</t>
  </si>
  <si>
    <t>SEGMENT28</t>
  </si>
  <si>
    <t>SEGMENT29</t>
  </si>
  <si>
    <t>SEGMENT30</t>
  </si>
  <si>
    <t>TEMPLATE_ID</t>
  </si>
  <si>
    <t>ALLOCATION_CREATE_FLAG</t>
  </si>
  <si>
    <t>CONTEXT</t>
  </si>
  <si>
    <t>SEGMENT_ATTRIBUTE1</t>
  </si>
  <si>
    <t>SEGMENT_ATTRIBUTE2</t>
  </si>
  <si>
    <t>SEGMENT_ATTRIBUTE3</t>
  </si>
  <si>
    <t>SEGMENT_ATTRIBUTE4</t>
  </si>
  <si>
    <t>SEGMENT_ATTRIBUTE5</t>
  </si>
  <si>
    <t>SEGMENT_ATTRIBUTE6</t>
  </si>
  <si>
    <t>SEGMENT_ATTRIBUTE7</t>
  </si>
  <si>
    <t>SEGMENT_ATTRIBUTE8</t>
  </si>
  <si>
    <t>SEGMENT_ATTRIBUTE9</t>
  </si>
  <si>
    <t>SEGMENT_ATTRIBUTE10</t>
  </si>
  <si>
    <t>SEGMENT_ATTRIBUTE11</t>
  </si>
  <si>
    <t>SEGMENT_ATTRIBUTE12</t>
  </si>
  <si>
    <t>SEGMENT_ATTRIBUTE13</t>
  </si>
  <si>
    <t>SEGMENT_ATTRIBUTE14</t>
  </si>
  <si>
    <t>SEGMENT_ATTRIBUTE15</t>
  </si>
  <si>
    <t>SEGMENT_ATTRIBUTE16</t>
  </si>
  <si>
    <t>SEGMENT_ATTRIBUTE17</t>
  </si>
  <si>
    <t>SEGMENT_ATTRIBUTE18</t>
  </si>
  <si>
    <t>SEGMENT_ATTRIBUTE19</t>
  </si>
  <si>
    <t>SEGMENT_ATTRIBUTE20</t>
  </si>
  <si>
    <t>SEGMENT_ATTRIBUTE21</t>
  </si>
  <si>
    <t>SEGMENT_ATTRIBUTE22</t>
  </si>
  <si>
    <t>SEGMENT_ATTRIBUTE23</t>
  </si>
  <si>
    <t>SEGMENT_ATTRIBUTE24</t>
  </si>
  <si>
    <t>SEGMENT_ATTRIBUTE25</t>
  </si>
  <si>
    <t>SEGMENT_ATTRIBUTE26</t>
  </si>
  <si>
    <t>SEGMENT_ATTRIBUTE27</t>
  </si>
  <si>
    <t>SEGMENT_ATTRIBUTE28</t>
  </si>
  <si>
    <t>SEGMENT_ATTRIBUTE29</t>
  </si>
  <si>
    <t>SEGMENT_ATTRIBUTE30</t>
  </si>
  <si>
    <t>SEGMENT_ATTRIBUTE31</t>
  </si>
  <si>
    <t>SEGMENT_ATTRIBUTE32</t>
  </si>
  <si>
    <t>SEGMENT_ATTRIBUTE33</t>
  </si>
  <si>
    <t>SEGMENT_ATTRIBUTE34</t>
  </si>
  <si>
    <t>SEGMENT_ATTRIBUTE35</t>
  </si>
  <si>
    <t>SEGMENT_ATTRIBUTE36</t>
  </si>
  <si>
    <t>SEGMENT_ATTRIBUTE37</t>
  </si>
  <si>
    <t>SEGMENT_ATTRIBUTE38</t>
  </si>
  <si>
    <t>SEGMENT_ATTRIBUTE39</t>
  </si>
  <si>
    <t>SEGMENT_ATTRIBUTE40</t>
  </si>
  <si>
    <t>SEGMENT_ATTRIBUTE41</t>
  </si>
  <si>
    <t>SEGMENT_ATTRIBUTE42</t>
  </si>
  <si>
    <t>REFERENCE1</t>
  </si>
  <si>
    <t>REFERENCE2</t>
  </si>
  <si>
    <t>REFERENCE3</t>
  </si>
  <si>
    <t>REFERENCE4</t>
  </si>
  <si>
    <t>REFERENCE5</t>
  </si>
  <si>
    <t>JGZZ_RECON_FLAG</t>
  </si>
  <si>
    <t>JGZZ_RECON_CONTEXT</t>
  </si>
  <si>
    <t>PRESERVE_FLAG</t>
  </si>
  <si>
    <t>REFRESH_FLAG</t>
  </si>
  <si>
    <t>IGI_BALANCED_BUDGET_FLAG</t>
  </si>
  <si>
    <t>COMPANY_COST_CENTER_ORG_ID</t>
  </si>
  <si>
    <t>REVALUATION_ID</t>
  </si>
  <si>
    <t>BILL_TO_CONTACT_ID</t>
  </si>
  <si>
    <t>BATCH_ID</t>
  </si>
  <si>
    <t>REASON_CODE</t>
  </si>
  <si>
    <t>SOLD_TO_CUSTOMER_ID</t>
  </si>
  <si>
    <t>SOLD_TO_CONTACT_ID</t>
  </si>
  <si>
    <t>SOLD_TO_SITE_USE_ID</t>
  </si>
  <si>
    <t>BILL_TO_CUSTOMER_ID</t>
  </si>
  <si>
    <t>BILL_TO_SITE_USE_ID</t>
  </si>
  <si>
    <t>SHIP_TO_CUSTOMER_ID</t>
  </si>
  <si>
    <t>SHIP_TO_CONTACT_ID</t>
  </si>
  <si>
    <t>SHIP_TO_SITE_USE_ID</t>
  </si>
  <si>
    <t>SHIPMENT_ID</t>
  </si>
  <si>
    <t>REMIT_TO_ADDRESS_ID</t>
  </si>
  <si>
    <t>TERM_DUE_DATE</t>
  </si>
  <si>
    <t>PREVIOUS_CUSTOMER_TRX_ID</t>
  </si>
  <si>
    <t>PRIMARY_SALESREP_ID</t>
  </si>
  <si>
    <t>PRINTING_ORIGINAL_DATE</t>
  </si>
  <si>
    <t>PRINTING_LAST_PRINTED</t>
  </si>
  <si>
    <t>PRINTING_OPTION</t>
  </si>
  <si>
    <t>PRINTING_COUNT</t>
  </si>
  <si>
    <t>PRINTING_PENDING</t>
  </si>
  <si>
    <t>PURCHASE_ORDER</t>
  </si>
  <si>
    <t>PURCHASE_ORDER_REVISION</t>
  </si>
  <si>
    <t>PURCHASE_ORDER_DATE</t>
  </si>
  <si>
    <t>CUSTOMER_REFERENCE_DATE</t>
  </si>
  <si>
    <t>INTERNAL_NOTES</t>
  </si>
  <si>
    <t>TERRITORY_ID</t>
  </si>
  <si>
    <t>INITIAL_CUSTOMER_TRX_ID</t>
  </si>
  <si>
    <t>AGREEMENT_ID</t>
  </si>
  <si>
    <t>END_DATE_COMMITMENT</t>
  </si>
  <si>
    <t>START_DATE_COMMITMENT</t>
  </si>
  <si>
    <t>LAST_PRINTED_SEQUENCE_NUM</t>
  </si>
  <si>
    <t>ORIG_SYSTEM_BATCH_NAME</t>
  </si>
  <si>
    <t>POST_REQUEST_ID</t>
  </si>
  <si>
    <t>FINANCE_CHARGES</t>
  </si>
  <si>
    <t>COMPLETE_FLAG</t>
  </si>
  <si>
    <t>BILL_TO_ADDRESS_ID</t>
  </si>
  <si>
    <t>RA_POST_LOOP_NUMBER</t>
  </si>
  <si>
    <t>SHIP_TO_ADDRESS_ID</t>
  </si>
  <si>
    <t>CREDIT_METHOD_FOR_RULES</t>
  </si>
  <si>
    <t>CREDIT_METHOD_FOR_INSTALLMENTS</t>
  </si>
  <si>
    <t>RELATED_CUSTOMER_TRX_ID</t>
  </si>
  <si>
    <t>INVOICING_RULE_ID</t>
  </si>
  <si>
    <t>SHIP_VIA</t>
  </si>
  <si>
    <t>SHIP_DATE_ACTUAL</t>
  </si>
  <si>
    <t>WAYBILL_NUMBER</t>
  </si>
  <si>
    <t>FOB_POINT</t>
  </si>
  <si>
    <t>CUSTOMER_BANK_ACCOUNT_ID</t>
  </si>
  <si>
    <t>INTERFACE_HEADER_ATTRIBUTE1</t>
  </si>
  <si>
    <t>INTERFACE_HEADER_ATTRIBUTE2</t>
  </si>
  <si>
    <t>INTERFACE_HEADER_ATTRIBUTE3</t>
  </si>
  <si>
    <t>INTERFACE_HEADER_ATTRIBUTE4</t>
  </si>
  <si>
    <t>INTERFACE_HEADER_ATTRIBUTE5</t>
  </si>
  <si>
    <t>INTERFACE_HEADER_ATTRIBUTE6</t>
  </si>
  <si>
    <t>INTERFACE_HEADER_ATTRIBUTE7</t>
  </si>
  <si>
    <t>INTERFACE_HEADER_ATTRIBUTE8</t>
  </si>
  <si>
    <t>INTERFACE_HEADER_CONTEXT</t>
  </si>
  <si>
    <t>DEFAULT_USSGL_TRX_CODE_CONTEXT</t>
  </si>
  <si>
    <t>INTERFACE_HEADER_ATTRIBUTE10</t>
  </si>
  <si>
    <t>INTERFACE_HEADER_ATTRIBUTE11</t>
  </si>
  <si>
    <t>INTERFACE_HEADER_ATTRIBUTE12</t>
  </si>
  <si>
    <t>INTERFACE_HEADER_ATTRIBUTE13</t>
  </si>
  <si>
    <t>INTERFACE_HEADER_ATTRIBUTE14</t>
  </si>
  <si>
    <t>INTERFACE_HEADER_ATTRIBUTE15</t>
  </si>
  <si>
    <t>INTERFACE_HEADER_ATTRIBUTE9</t>
  </si>
  <si>
    <t>DEFAULT_USSGL_TRANSACTION_CODE</t>
  </si>
  <si>
    <t>RECURRED_FROM_TRX_NUMBER</t>
  </si>
  <si>
    <t>STATUS_TRX</t>
  </si>
  <si>
    <t>DOC_SEQUENCE_ID</t>
  </si>
  <si>
    <t>DOC_SEQUENCE_VALUE</t>
  </si>
  <si>
    <t>PAYING_CUSTOMER_ID</t>
  </si>
  <si>
    <t>PAYING_SITE_USE_ID</t>
  </si>
  <si>
    <t>RELATED_BATCH_SOURCE_ID</t>
  </si>
  <si>
    <t>DEFAULT_TAX_EXEMPT_FLAG</t>
  </si>
  <si>
    <t>CREATED_FROM</t>
  </si>
  <si>
    <t>WH_UPDATE_DATE</t>
  </si>
  <si>
    <t>EDI_PROCESSED_FLAG</t>
  </si>
  <si>
    <t>EDI_PROCESSED_STATUS</t>
  </si>
  <si>
    <t>GLOBAL_ATTRIBUTE21</t>
  </si>
  <si>
    <t>GLOBAL_ATTRIBUTE22</t>
  </si>
  <si>
    <t>GLOBAL_ATTRIBUTE23</t>
  </si>
  <si>
    <t>GLOBAL_ATTRIBUTE24</t>
  </si>
  <si>
    <t>GLOBAL_ATTRIBUTE25</t>
  </si>
  <si>
    <t>GLOBAL_ATTRIBUTE26</t>
  </si>
  <si>
    <t>GLOBAL_ATTRIBUTE27</t>
  </si>
  <si>
    <t>GLOBAL_ATTRIBUTE28</t>
  </si>
  <si>
    <t>GLOBAL_ATTRIBUTE29</t>
  </si>
  <si>
    <t>GLOBAL_ATTRIBUTE30</t>
  </si>
  <si>
    <t>PAYMENT_SERVER_ORDER_NUM</t>
  </si>
  <si>
    <t>APPROVAL_CODE</t>
  </si>
  <si>
    <t>ADDRESS_VERIFICATION_CODE</t>
  </si>
  <si>
    <t>OLD_TRX_NUMBER</t>
  </si>
  <si>
    <t>BR_AMOUNT</t>
  </si>
  <si>
    <t>BR_UNPAID_FLAG</t>
  </si>
  <si>
    <t>BR_ON_HOLD_FLAG</t>
  </si>
  <si>
    <t>DRAWEE_ID</t>
  </si>
  <si>
    <t>DRAWEE_CONTACT_ID</t>
  </si>
  <si>
    <t>DRAWEE_SITE_USE_ID</t>
  </si>
  <si>
    <t>REMITTANCE_BANK_ACCOUNT_ID</t>
  </si>
  <si>
    <t>OVERRIDE_REMIT_ACCOUNT_FLAG</t>
  </si>
  <si>
    <t>DRAWEE_BANK_ACCOUNT_ID</t>
  </si>
  <si>
    <t>SPECIAL_INSTRUCTIONS</t>
  </si>
  <si>
    <t>REMITTANCE_BATCH_ID</t>
  </si>
  <si>
    <t>PREPAYMENT_FLAG</t>
  </si>
  <si>
    <t>CT_REFERENCE</t>
  </si>
  <si>
    <t>CONTRACT_ID</t>
  </si>
  <si>
    <t>BILL_TEMPLATE_ID</t>
  </si>
  <si>
    <t>CC_ERROR_CODE</t>
  </si>
  <si>
    <t>CC_ERROR_TEXT</t>
  </si>
  <si>
    <t>CC_ERROR_FLAG</t>
  </si>
  <si>
    <t>MANDATE_LAST_TRX_FLAG</t>
  </si>
  <si>
    <t>CUST_TRX_LINE_GL_DIST_ID</t>
  </si>
  <si>
    <t>CUSTOMER_TRX_LINE_ID</t>
  </si>
  <si>
    <t>PERCENT</t>
  </si>
  <si>
    <t>AMOUNT</t>
  </si>
  <si>
    <t>CUST_TRX_LINE_SALESREP_ID</t>
  </si>
  <si>
    <t>CONCATENATED_SEGMENTS</t>
  </si>
  <si>
    <t>ORIGINAL_GL_DATE</t>
  </si>
  <si>
    <t>ACCOUNT_CLASS</t>
  </si>
  <si>
    <t>ACCOUNT_SET_FLAG</t>
  </si>
  <si>
    <t>ACCTD_AMOUNT</t>
  </si>
  <si>
    <t>LATEST_REC_FLAG</t>
  </si>
  <si>
    <t>MRC_ACCOUNT_CLASS</t>
  </si>
  <si>
    <t>MRC_AMOUNT</t>
  </si>
  <si>
    <t>MRC_ACCTD_AMOUNT</t>
  </si>
  <si>
    <t>COLLECTED_TAX_CCID</t>
  </si>
  <si>
    <t>COLLECTED_TAX_CONCAT_SEG</t>
  </si>
  <si>
    <t>REVENUE_ADJUSTMENT_ID</t>
  </si>
  <si>
    <t>REV_ADJ_CLASS_TEMP</t>
  </si>
  <si>
    <t>REC_OFFSET_FLAG</t>
  </si>
  <si>
    <t>CCID_CHANGE_FLAG</t>
  </si>
  <si>
    <t>PARTY_ID</t>
  </si>
  <si>
    <t>PARTY_NUMBER</t>
  </si>
  <si>
    <t>PARTY_NAME</t>
  </si>
  <si>
    <t>PARTY_TYPE</t>
  </si>
  <si>
    <t>VALIDATED_FLAG</t>
  </si>
  <si>
    <t>ORIG_SYSTEM_REFERENCE</t>
  </si>
  <si>
    <t>SIC_CODE</t>
  </si>
  <si>
    <t>HQ_BRANCH_IND</t>
  </si>
  <si>
    <t>CUSTOMER_KEY</t>
  </si>
  <si>
    <t>TAX_REFERENCE</t>
  </si>
  <si>
    <t>JGZZ_FISCAL_CODE</t>
  </si>
  <si>
    <t>DUNS_NUMBER</t>
  </si>
  <si>
    <t>TAX_NAME</t>
  </si>
  <si>
    <t>PERSON_PRE_NAME_ADJUNCT</t>
  </si>
  <si>
    <t>PERSON_FIRST_NAME</t>
  </si>
  <si>
    <t>PERSON_MIDDLE_NAME</t>
  </si>
  <si>
    <t>PERSON_LAST_NAME</t>
  </si>
  <si>
    <t>PERSON_NAME_SUFFIX</t>
  </si>
  <si>
    <t>PERSON_TITLE</t>
  </si>
  <si>
    <t>PERSON_ACADEMIC_TITLE</t>
  </si>
  <si>
    <t>PERSON_PREVIOUS_LAST_NAME</t>
  </si>
  <si>
    <t>KNOWN_AS</t>
  </si>
  <si>
    <t>PERSON_IDEN_TYPE</t>
  </si>
  <si>
    <t>PERSON_IDENTIFIER</t>
  </si>
  <si>
    <t>GROUP_TYPE</t>
  </si>
  <si>
    <t>COUNTRY</t>
  </si>
  <si>
    <t>ADDRESS1</t>
  </si>
  <si>
    <t>ADDRESS2</t>
  </si>
  <si>
    <t>ADDRESS3</t>
  </si>
  <si>
    <t>ADDRESS4</t>
  </si>
  <si>
    <t>CITY</t>
  </si>
  <si>
    <t>POSTAL_CODE</t>
  </si>
  <si>
    <t>STATE</t>
  </si>
  <si>
    <t>PROVINCE</t>
  </si>
  <si>
    <t>COUNTY</t>
  </si>
  <si>
    <t>SIC_CODE_TYPE</t>
  </si>
  <si>
    <t>TOTAL_NUM_OF_ORDERS</t>
  </si>
  <si>
    <t>TOTAL_ORDERED_AMOUNT</t>
  </si>
  <si>
    <t>LAST_ORDERED_DATE</t>
  </si>
  <si>
    <t>URL</t>
  </si>
  <si>
    <t>DO_NOT_MAIL_FLAG</t>
  </si>
  <si>
    <t>ANALYSIS_FY</t>
  </si>
  <si>
    <t>FISCAL_YEAREND_MONTH</t>
  </si>
  <si>
    <t>EMPLOYEES_TOTAL</t>
  </si>
  <si>
    <t>CURR_FY_POTENTIAL_REVENUE</t>
  </si>
  <si>
    <t>NEXT_FY_POTENTIAL_REVENUE</t>
  </si>
  <si>
    <t>YEAR_ESTABLISHED</t>
  </si>
  <si>
    <t>GSA_INDICATOR_FLAG</t>
  </si>
  <si>
    <t>MISSION_STATEMENT</t>
  </si>
  <si>
    <t>ORGANIZATION_NAME_PHONETIC</t>
  </si>
  <si>
    <t>PERSON_FIRST_NAME_PHONETIC</t>
  </si>
  <si>
    <t>PERSON_LAST_NAME_PHONETIC</t>
  </si>
  <si>
    <t>LANGUAGE_NAME</t>
  </si>
  <si>
    <t>CATEGORY_CODE</t>
  </si>
  <si>
    <t>REFERENCE_USE_FLAG</t>
  </si>
  <si>
    <t>THIRD_PARTY_FLAG</t>
  </si>
  <si>
    <t>COMPETITOR_FLAG</t>
  </si>
  <si>
    <t>SALUTATION</t>
  </si>
  <si>
    <t>KNOWN_AS2</t>
  </si>
  <si>
    <t>KNOWN_AS3</t>
  </si>
  <si>
    <t>KNOWN_AS4</t>
  </si>
  <si>
    <t>KNOWN_AS5</t>
  </si>
  <si>
    <t>DUNS_NUMBER_C</t>
  </si>
  <si>
    <t>OBJECT_VERSION_NUMBER</t>
  </si>
  <si>
    <t>CREATED_BY_MODULE</t>
  </si>
  <si>
    <t>APPLICATION_ID</t>
  </si>
  <si>
    <t>PRIMARY_PHONE_CONTACT_PT_ID</t>
  </si>
  <si>
    <t>PRIMARY_PHONE_PURPOSE</t>
  </si>
  <si>
    <t>PRIMARY_PHONE_LINE_TYPE</t>
  </si>
  <si>
    <t>PRIMARY_PHONE_COUNTRY_CODE</t>
  </si>
  <si>
    <t>PRIMARY_PHONE_AREA_CODE</t>
  </si>
  <si>
    <t>PRIMARY_PHONE_NUMBER</t>
  </si>
  <si>
    <t>PRIMARY_PHONE_EXTENSION</t>
  </si>
  <si>
    <t>CERTIFICATION_LEVEL</t>
  </si>
  <si>
    <t>CERT_REASON_CODE</t>
  </si>
  <si>
    <t>PREFERRED_CONTACT_METHOD</t>
  </si>
  <si>
    <t>trex_ofs_info</t>
  </si>
  <si>
    <t>XX_TREX_INCL</t>
  </si>
  <si>
    <t>info_cd</t>
  </si>
  <si>
    <t>info_desc</t>
  </si>
  <si>
    <t>info_val_str</t>
  </si>
  <si>
    <t>info_val_num</t>
  </si>
  <si>
    <t>info_val_ts</t>
  </si>
  <si>
    <t>info_cre_dt</t>
  </si>
  <si>
    <t>info_mod_user</t>
  </si>
  <si>
    <t>info_mod_ts</t>
  </si>
  <si>
    <t>PROCESS_NM</t>
  </si>
  <si>
    <t>varchar</t>
  </si>
  <si>
    <t>bigint</t>
  </si>
  <si>
    <t>datetime</t>
  </si>
  <si>
    <t>int</t>
  </si>
  <si>
    <t>smalldatetime</t>
  </si>
  <si>
    <t>numeric</t>
  </si>
  <si>
    <t>SQ_ofs_ar_invoices</t>
  </si>
  <si>
    <t>EXP_XX_TREX_INCL</t>
  </si>
  <si>
    <t>SQ_incl_ofs_ar_invoices</t>
  </si>
  <si>
    <t>SQ_min_lkp</t>
  </si>
  <si>
    <t>EXP_min_lkp</t>
  </si>
  <si>
    <t>SQ_XX_IA_INCREMENTAL_DATES</t>
  </si>
  <si>
    <t>EXP_XX_IA_INCREMENTAL_DATES</t>
  </si>
  <si>
    <t>UPD_XX_IA_INCREMENTAL_DATES</t>
  </si>
  <si>
    <t>FLTR_update</t>
  </si>
  <si>
    <t>UPD_ofs_ar_invoices_update</t>
  </si>
  <si>
    <t>LKP_ofs_ar_invoices</t>
  </si>
  <si>
    <t>UPD_trex_ofs_info_min_lkp</t>
  </si>
  <si>
    <t>EXP_ins_upd</t>
  </si>
  <si>
    <t>LKP_MAX_ETL_TRANS_ID</t>
  </si>
  <si>
    <t>EXP_ofs_ar_invoices</t>
  </si>
  <si>
    <t>UPD_ofs_ar_invoices_insert</t>
  </si>
  <si>
    <t>FLTR_insert</t>
  </si>
  <si>
    <t>STRAT_INS_XX_TREX_INCL</t>
  </si>
  <si>
    <t>Filter</t>
  </si>
  <si>
    <t>o_process_nm</t>
  </si>
  <si>
    <t>mod_user</t>
  </si>
  <si>
    <t>session_start_time</t>
  </si>
  <si>
    <t>destination_system</t>
  </si>
  <si>
    <t>module</t>
  </si>
  <si>
    <t>o_new_last_update_date</t>
  </si>
  <si>
    <t>o_org_id</t>
  </si>
  <si>
    <t>o_batch_source_id</t>
  </si>
  <si>
    <t>o_customer_trx_id</t>
  </si>
  <si>
    <t>o_acctd_amount</t>
  </si>
  <si>
    <t>o_amount</t>
  </si>
  <si>
    <t>o_acctd_amount_applied_to</t>
  </si>
  <si>
    <t>o_amount_applied</t>
  </si>
  <si>
    <t>o_acctd_amount_due_remaining</t>
  </si>
  <si>
    <t>o_amount_due_remaining</t>
  </si>
  <si>
    <t>intf_sts_cd</t>
  </si>
  <si>
    <t>user_cd</t>
  </si>
  <si>
    <t>o_insert_or_update</t>
  </si>
  <si>
    <t>customer_trx_id_in</t>
  </si>
  <si>
    <t>lkp_invoice_rec_id</t>
  </si>
  <si>
    <t>lkp_extn_sys_cd</t>
  </si>
  <si>
    <t>lkp_batch_id</t>
  </si>
  <si>
    <t>lkp_batch_name</t>
  </si>
  <si>
    <t>lkp_org_id</t>
  </si>
  <si>
    <t>lkp_batch_source_id</t>
  </si>
  <si>
    <t>lkp_company</t>
  </si>
  <si>
    <t>lkp_company_description</t>
  </si>
  <si>
    <t>lkp_account_number</t>
  </si>
  <si>
    <t>lkp_party_name</t>
  </si>
  <si>
    <t>lkp_customer_trx_id</t>
  </si>
  <si>
    <t>lkp_invoice_number</t>
  </si>
  <si>
    <t>lkp_kme_ar_inv_no</t>
  </si>
  <si>
    <t>lkp_kme_ar_inv_amd_no</t>
  </si>
  <si>
    <t>lkp_invoice_date</t>
  </si>
  <si>
    <t>lkp_due_date</t>
  </si>
  <si>
    <t>lkp_offset_nat_acct_no</t>
  </si>
  <si>
    <t>lkp_transaction_type</t>
  </si>
  <si>
    <t>lkp_acctd_amount</t>
  </si>
  <si>
    <t>lkp_amount</t>
  </si>
  <si>
    <t>lkp_acctd_amount_applied_to</t>
  </si>
  <si>
    <t>lkp_amount_applied</t>
  </si>
  <si>
    <t>lkp_acctd_amount_due_remaining</t>
  </si>
  <si>
    <t>lkp_amount_due_remaining</t>
  </si>
  <si>
    <t>lkp_currency_code</t>
  </si>
  <si>
    <t>lkp_payment_terms</t>
  </si>
  <si>
    <t>lkp_receipt_method</t>
  </si>
  <si>
    <t>lkp_created_by</t>
  </si>
  <si>
    <t>lkp_last_updated_by</t>
  </si>
  <si>
    <t>lkp_invoice_creation_date</t>
  </si>
  <si>
    <t>lkp_invoice_last_update_date</t>
  </si>
  <si>
    <t>lkp_invoice_gl_posted_date</t>
  </si>
  <si>
    <t>lkp_invoice_gl_date</t>
  </si>
  <si>
    <t>lkp_prcs_sts_cd</t>
  </si>
  <si>
    <t>v_md5_new</t>
  </si>
  <si>
    <t>v_md5_lkp</t>
  </si>
  <si>
    <t>i_etl_trans_id</t>
  </si>
  <si>
    <t>v_beg_seq</t>
  </si>
  <si>
    <t>v_num_rows</t>
  </si>
  <si>
    <t>v_next_seq_num</t>
  </si>
  <si>
    <t>$PMMappingName</t>
  </si>
  <si>
    <t>'OFS_AR_INV_MIN_LKP'</t>
  </si>
  <si>
    <t>SESSSTARTTIME</t>
  </si>
  <si>
    <t>MD5(
TO_CHAR(extn_sys_cd)
|| TO_CHAR(batch_id)
|| TO_CHAR(batch_name)
|| TO_CHAR(o_org_id)
|| TO_CHAR(o_batch_source_id)
|| TO_CHAR(company)
|| TO_CHAR(company_description)
|| TO_CHAR(account_number)
|| TO_CHAR(party_name)
|| TO_CHAR(o_customer_trx_id)
|| TO_CHAR(invoice_number)
|| TO_CHAR(kme_ar_inv_no)
|| TO_CHAR(kme_ar_inv_amd_no)
|| TO_CHAR(invoice_date)
|| TO_CHAR(due_date)
|| TO_CHAR(offset_nat_acct_no)
|| TO_CHAR(transaction_type)
|| TO_CHAR(o_acctd_amount)
|| TO_CHAR(o_amount)
|| TO_CHAR(o_acctd_amount_applied_to)
|| TO_CHAR(o_amount_applied)
|| TO_CHAR(o_acctd_amount_due_remaining)
|| TO_CHAR(o_amount_due_remaining)
|| TO_CHAR(currency_code)
|| TO_CHAR(payment_terms)
|| TO_CHAR(receipt_method)
|| TO_CHAR(created_by)
|| TO_CHAR(last_updated_by)
|| TO_CHAR(invoice_creation_date)
|| TO_CHAR(invoice_gl_posted_date)
|| TO_CHAR(invoice_gl_date))</t>
  </si>
  <si>
    <t>MD5(
TO_CHAR(lkp_extn_sys_cd)
|| TO_CHAR(lkp_batch_id)
|| TO_CHAR(lkp_batch_name)
|| TO_CHAR(lkp_org_id)
|| TO_CHAR(lkp_batch_source_id)
|| TO_CHAR(lkp_company)
|| TO_CHAR(lkp_company_description)
|| TO_CHAR(lkp_account_number)
|| TO_CHAR(lkp_party_name)
|| TO_CHAR(lkp_customer_trx_id)
|| TO_CHAR(lkp_invoice_number)
|| TO_CHAR(lkp_kme_ar_inv_no)
|| TO_CHAR(lkp_kme_ar_inv_amd_no)
|| TO_CHAR(lkp_invoice_date)
|| TO_CHAR(lkp_due_date)
|| TO_CHAR(lkp_offset_nat_acct_no)
|| TO_CHAR(lkp_transaction_type)
|| TO_CHAR(lkp_acctd_amount)
|| TO_CHAR(lkp_amount)
|| TO_CHAR(lkp_acctd_amount_applied_to)
|| TO_CHAR(lkp_amount_applied)
|| TO_CHAR(lkp_acctd_amount_due_remaining)
|| TO_CHAR(lkp_amount_due_remaining)
|| TO_CHAR(lkp_currency_code)
|| TO_CHAR(lkp_payment_terms)
|| TO_CHAR(lkp_receipt_method)
|| TO_CHAR(lkp_created_by)
|| TO_CHAR(lkp_last_updated_by)
|| TO_CHAR(lkp_invoice_creation_date)
|| TO_CHAR(lkp_invoice_gl_posted_date)
|| TO_CHAR(lkp_invoice_gl_date))</t>
  </si>
  <si>
    <t>DECODE(true,
                      ISNULL(lkp_invoice_rec_id), 'INSERT',
                      v_md5_new &lt;&gt; v_md5_lkp OR lkp_prcs_sts_cd = 'REPULL_FORCE', 'UPDATE',
	                NULL)</t>
  </si>
  <si>
    <t>IIF(v_beg_seq = 0, :LKP.LKP_MAX_ETL_TRANS_ID(-1), v_beg_seq)</t>
  </si>
  <si>
    <t>v_num_rows + 1</t>
  </si>
  <si>
    <t>v_beg_seq + v_num_rows</t>
  </si>
  <si>
    <t>'OFS'</t>
  </si>
  <si>
    <t>TO_INTEGER(org_id)</t>
  </si>
  <si>
    <t>TO_INTEGER(batch_source_id)</t>
  </si>
  <si>
    <t>TO_INTEGER(customer_trx_id)</t>
  </si>
  <si>
    <t>TO_DECIMAL(acctd_amount)</t>
  </si>
  <si>
    <t>TO_DECIMAL(amount)</t>
  </si>
  <si>
    <t>TO_DECIMAL(acctd_amount_applied_to)</t>
  </si>
  <si>
    <t>TO_DECIMAL(amount_applied)</t>
  </si>
  <si>
    <t>TO_DECIMAL(acctd_amount_due_remaining)</t>
  </si>
  <si>
    <t>TO_DECIMAL(amount_due_remaining)</t>
  </si>
  <si>
    <t>1</t>
  </si>
  <si>
    <t>'COMPLETE'</t>
  </si>
  <si>
    <t>'UNSENT'</t>
  </si>
  <si>
    <t>LOCAL VARIABLE</t>
  </si>
  <si>
    <t>LOOKUP/RETURN/OUTPUT</t>
  </si>
  <si>
    <t>decimal</t>
  </si>
  <si>
    <t>write_aud_log_msg_BEGIN</t>
  </si>
  <si>
    <t>write_aud_log_msg_END</t>
  </si>
  <si>
    <t>Stored Procedure</t>
  </si>
  <si>
    <t>ofs_ar_invoices1</t>
  </si>
  <si>
    <t>RA_CUSTOMER_TRX_ALL1</t>
  </si>
  <si>
    <t>ofs_ar_invoices_insert</t>
  </si>
  <si>
    <t>ofs_ar_invoices_update</t>
  </si>
  <si>
    <t>M_OFS_TREX_AR_INVOICES.XML</t>
  </si>
  <si>
    <t>DESTINATION_SYSTEM,DESTINATION_SYSTEM,DESTINATION_SYSTEM,DESTINATION_SYSTEM,DESTINATION_SYSTEM</t>
  </si>
  <si>
    <t>MODULE,MODULE,MODULE,MODULE,MODULE</t>
  </si>
  <si>
    <t>LAST_UPDATE_DATE,O_NEW_LAST_UPDATE_DATE,O_NEW_LAST_UPDATE_DATE</t>
  </si>
  <si>
    <t>PROCESS_NM,O_PROCESS_NM,O_PROCESS_NM</t>
  </si>
  <si>
    <t>CUSTOMER_TRX_ID,CUSTOMER_TRX_ID,CUSTOMER_TRX_ID,CUSTOMER_TRX_ID,CUSTOMER_TRX_ID</t>
  </si>
  <si>
    <t>CURRENCY_CODE,CURRENCY_CODE,CURRENCY_CODE,CURRENCY_CODE,CURRENCY_CODE,CURRENCY_CODE,INVOICE_CURRENCY_CODE</t>
  </si>
  <si>
    <t>PAYMENT_TERMS,PAYMENT_TERMS,PAYMENT_TERMS,PAYMENT_TERMS,PAYMENT_TERMS,PAYMENT_TERMS,NAME</t>
  </si>
  <si>
    <t>RECEIPT_METHOD,RECEIPT_METHOD,RECEIPT_METHOD,RECEIPT_METHOD,RECEIPT_METHOD,RECEIPT_METHOD,NAME</t>
  </si>
  <si>
    <t>CREATED_BY,CREATED_BY,CREATED_BY,CREATED_BY,CREATED_BY,CREATED_BY,USER_NAME</t>
  </si>
  <si>
    <t>LAST_UPDATED_BY,LAST_UPDATED_BY,LAST_UPDATED_BY,LAST_UPDATED_BY,LAST_UPDATED_BY,LAST_UPDATED_BY,USER_NAME</t>
  </si>
  <si>
    <t>INVOICE_CREATION_DATE,INVOICE_CREATION_DATE,INVOICE_CREATION_DATE,INVOICE_CREATION_DATE,INVOICE_CREATION_DATE,INVOICE_CREATION_DATE,CREATION_DATE</t>
  </si>
  <si>
    <t>INVOICE_LAST_UPDATE_DATE,INVOICE_LAST_UPDATE_DATE,INVOICE_LAST_UPDATE_DATE,INVOICE_LAST_UPDATE_DATE,INVOICE_LAST_UPDATE_DATE,INVOICE_LAST_UPDATE_DATE,LAST_UPDATE_DATE</t>
  </si>
  <si>
    <t>INVOICE_GL_POSTED_DATE,INVOICE_GL_POSTED_DATE,INVOICE_GL_POSTED_DATE,INVOICE_GL_POSTED_DATE,INVOICE_GL_POSTED_DATE,INVOICE_GL_POSTED_DATE,GL_POSTED_DATE</t>
  </si>
  <si>
    <t>INVOICE_GL_DATE,INVOICE_GL_DATE,INVOICE_GL_DATE,INVOICE_GL_DATE,INVOICE_GL_DATE,INVOICE_GL_DATE,GL_DATE</t>
  </si>
  <si>
    <t>AUD_DIM_ID,AUD_DIM_ID,AUD_DIM_ID,AUD_DIM_ID,AUD_DIM_ID</t>
  </si>
  <si>
    <t>PRCS_STS_CD,PRCS_STS_CD,PRCS_STS_CD,PRCS_STS_CD,PRCS_STS_CD</t>
  </si>
  <si>
    <t>CONFM_INTF_STS_CD,INTF_STS_CD,INTF_STS_CD,INTF_STS_CD,INTF_STS_CD</t>
  </si>
  <si>
    <t>CRE_USER_CD,USER_CD,USER_CD,USER_CD,USER_CD</t>
  </si>
  <si>
    <t>MOD_USER_CD,USER_CD,USER_CD,USER_CD,USER_CD</t>
  </si>
  <si>
    <t>CRE_TS,SESSION_START_TIME,SESSION_START_TIME,SESSION_START_TIME,SESSION_START_TIME</t>
  </si>
  <si>
    <t>MOD_TS,SESSION_START_TIME,SESSION_START_TIME,SESSION_START_TIME,SESSION_START_TIME</t>
  </si>
  <si>
    <t>ETL_TRANS_ID,ETL_TRANS_ID,ETL_TRANS_ID,ETL_TRANS_ID,ETL_TRANS_ID</t>
  </si>
  <si>
    <t>EXTN_SYS_CD,EXTN_SYS_CD,EXTN_SYS_CD,EXTN_SYS_CD,EXTN_SYS_CD</t>
  </si>
  <si>
    <t>BATCH_ID,BATCH_ID,BATCH_ID,BATCH_ID,BATCH_ID,BATCH_ID,INTERFACE_HEADER_ATTRIBUTE5</t>
  </si>
  <si>
    <t>BATCH_NAME,BATCH_NAME,BATCH_NAME,BATCH_NAME,BATCH_NAME,BATCH_NAME,NAME</t>
  </si>
  <si>
    <t>ORG_ID,O_ORG_ID,O_ORG_ID,O_ORG_ID,O_ORG_ID</t>
  </si>
  <si>
    <t>BATCH_SOURCE_ID,O_BATCH_SOURCE_ID,O_BATCH_SOURCE_ID,O_BATCH_SOURCE_ID,O_BATCH_SOURCE_ID</t>
  </si>
  <si>
    <t>COMPANY,COMPANY,COMPANY,COMPANY,COMPANY,COMPANY,SEGMENT1</t>
  </si>
  <si>
    <t>COMPANY_DESCRIPTION,COMPANY_DESCRIPTION,COMPANY_DESCRIPTION,COMPANY_DESCRIPTION,COMPANY_DESCRIPTION,COMPANY_DESCRIPTION,ATTRIBUTE2</t>
  </si>
  <si>
    <t>ACCOUNT_NUMBER,ACCOUNT_NUMBER,ACCOUNT_NUMBER,ACCOUNT_NUMBER,ACCOUNT_NUMBER,ACCOUNT_NUMBER,INTERFACE_HEADER_ATTRIBUTE3</t>
  </si>
  <si>
    <t>PARTY_NAME,PARTY_NAME,PARTY_NAME,PARTY_NAME,PARTY_NAME,PARTY_NAME,PARTY_NAME</t>
  </si>
  <si>
    <t>CUSTOMER_TRX_ID,O_CUSTOMER_TRX_ID,O_CUSTOMER_TRX_ID,O_CUSTOMER_TRX_ID,O_CUSTOMER_TRX_ID</t>
  </si>
  <si>
    <t>INVOICE_NUMBER,INVOICE_NUMBER,INVOICE_NUMBER,INVOICE_NUMBER,INVOICE_NUMBER,INVOICE_NUMBER,TRX_NUMBER</t>
  </si>
  <si>
    <t>KME_AR_INV_NO,KME_AR_INV_NO,KME_AR_INV_NO,KME_AR_INV_NO,KME_AR_INV_NO,KME_AR_INV_NO,TRX_NUMBER</t>
  </si>
  <si>
    <t>KME_AR_INV_AMD_NO,KME_AR_INV_AMD_NO,KME_AR_INV_AMD_NO,KME_AR_INV_AMD_NO,KME_AR_INV_AMD_NO,KME_AR_INV_AMD_NO,TRX_NUMBER</t>
  </si>
  <si>
    <t>INVOICE_DATE,INVOICE_DATE,INVOICE_DATE,INVOICE_DATE,INVOICE_DATE,INVOICE_DATE,TRX_DATE</t>
  </si>
  <si>
    <t>DUE_DATE,DUE_DATE,DUE_DATE,DUE_DATE,DUE_DATE,DUE_DATE,DUE_DATE</t>
  </si>
  <si>
    <t>OFFSET_NAT_ACCT_NO,OFFSET_NAT_ACCT_NO,OFFSET_NAT_ACCT_NO,OFFSET_NAT_ACCT_NO,OFFSET_NAT_ACCT_NO,OFFSET_NAT_ACCT_NO,SEGMENT5</t>
  </si>
  <si>
    <t>TRANSACTION_TYPE,TRANSACTION_TYPE,TRANSACTION_TYPE,TRANSACTION_TYPE,TRANSACTION_TYPE,TRANSACTION_TYPE,NAME</t>
  </si>
  <si>
    <t>ACCTD_AMOUNT,O_ACCTD_AMOUNT,O_ACCTD_AMOUNT,O_ACCTD_AMOUNT,O_ACCTD_AMOUNT</t>
  </si>
  <si>
    <t>AMOUNT,O_AMOUNT,O_AMOUNT,O_AMOUNT,O_AMOUNT</t>
  </si>
  <si>
    <t>ACCTD_AMOUNT_APPLIED_TO,ACCTD_AMOUNT_APPLIED_TO,O_ACCTD_AMOUNT_APPLIED_TO</t>
  </si>
  <si>
    <t>AMOUNT_APPLIED,O_AMOUNT_APPLIED,O_AMOUNT_APPLIED,O_AMOUNT_APPLIED,O_AMOUNT_APPLIED</t>
  </si>
  <si>
    <t>ACCTD_AMOUNT_DUE_REMAINING,O_ACCTD_AMOUNT_DUE_REMAINING,O_ACCTD_AMOUNT_DUE_REMAINING,O_ACCTD_AMOUNT_DUE_REMAINING,O_ACCTD_AMOUNT_DUE_REMAINING</t>
  </si>
  <si>
    <t>AMOUNT_DUE_REMAINING,O_AMOUNT_DUE_REMAINING,O_AMOUNT_DUE_REMAINING,O_AMOUNT_DUE_REMAINING,O_AMOUNT_DUE_REMAINING</t>
  </si>
  <si>
    <t>ACCTD_AMOUNT_APPLIED_TO,O_ACCTD_AMOUNT_APPLIED_TO,O_ACCTD_AMOUNT_APPLIED_TO,O_ACCTD_AMOUNT_APPLIED_TO,O_ACCTD_AMOUNT_APPLIED_TO</t>
  </si>
  <si>
    <t>INVOICE_REC_ID,INVOICE_REC_ID,INVOICE_REC_ID,LKP_INVOICE_REC_ID,INVOICE_REC_ID</t>
  </si>
  <si>
    <t>INFO_VAL_NUM,CUSTOMER_TRX_ID,CUSTOMER_TRX_ID,CUSTOMER_TRX_ID,CUSTOMER_TRX_ID</t>
  </si>
  <si>
    <t>INFO_CD,INFO_CD,INFO_CD</t>
  </si>
  <si>
    <t>INFO_MOD_USER,MOD_USER,MOD_USER</t>
  </si>
  <si>
    <t>INFO_MOD_TS,SESSION_START_TIME,SESSION_START_TIME</t>
  </si>
  <si>
    <t>UPD_XX_IA_INCREMENTAL_DATES::destination_system::Update Strategy</t>
  </si>
  <si>
    <t>XX_IA_INCREMENTAL_DATES::DESTINATION_SYSTEM::Target Definition</t>
  </si>
  <si>
    <t>UPD_XX_IA_INCREMENTAL_DATES::module::Update Strategy</t>
  </si>
  <si>
    <t>XX_IA_INCREMENTAL_DATES::MODULE::Target Definition</t>
  </si>
  <si>
    <t>UPD_XX_IA_INCREMENTAL_DATES::o_new_last_update_date::Update Strategy</t>
  </si>
  <si>
    <t>XX_IA_INCREMENTAL_DATES::LAST_UPDATE_DATE::Target Definition</t>
  </si>
  <si>
    <t>STRAT_INS_XX_TREX_INCL::o_process_nm::Update Strategy</t>
  </si>
  <si>
    <t>XX_TREX_INCL::PROCESS_NM::Target Definition</t>
  </si>
  <si>
    <t>STRAT_INS_XX_TREX_INCL::customer_trx_id::Update Strategy</t>
  </si>
  <si>
    <t>XX_TREX_INCL::CUSTOMER_TRX_ID::Target Definition</t>
  </si>
  <si>
    <t>UPD_ofs_ar_invoices_insert::currency_code::Update Strategy</t>
  </si>
  <si>
    <t>ofs_ar_invoices_insert::currency_code::Target Definition</t>
  </si>
  <si>
    <t>UPD_ofs_ar_invoices_insert::payment_terms::Update Strategy</t>
  </si>
  <si>
    <t>ofs_ar_invoices_insert::payment_terms::Target Definition</t>
  </si>
  <si>
    <t>UPD_ofs_ar_invoices_insert::receipt_method::Update Strategy</t>
  </si>
  <si>
    <t>ofs_ar_invoices_insert::receipt_method::Target Definition</t>
  </si>
  <si>
    <t>UPD_ofs_ar_invoices_insert::created_by::Update Strategy</t>
  </si>
  <si>
    <t>ofs_ar_invoices_insert::created_by::Target Definition</t>
  </si>
  <si>
    <t>UPD_ofs_ar_invoices_insert::last_updated_by::Update Strategy</t>
  </si>
  <si>
    <t>ofs_ar_invoices_insert::last_updated_by::Target Definition</t>
  </si>
  <si>
    <t>UPD_ofs_ar_invoices_insert::invoice_creation_date::Update Strategy</t>
  </si>
  <si>
    <t>ofs_ar_invoices_insert::invoice_creation_date::Target Definition</t>
  </si>
  <si>
    <t>UPD_ofs_ar_invoices_insert::invoice_last_update_date::Update Strategy</t>
  </si>
  <si>
    <t>ofs_ar_invoices_insert::invoice_last_update_date::Target Definition</t>
  </si>
  <si>
    <t>UPD_ofs_ar_invoices_insert::invoice_gl_posted_date::Update Strategy</t>
  </si>
  <si>
    <t>ofs_ar_invoices_insert::invoice_gl_posted_date::Target Definition</t>
  </si>
  <si>
    <t>UPD_ofs_ar_invoices_insert::invoice_gl_date::Update Strategy</t>
  </si>
  <si>
    <t>ofs_ar_invoices_insert::invoice_gl_date::Target Definition</t>
  </si>
  <si>
    <t>UPD_ofs_ar_invoices_insert::aud_dim_id::Update Strategy</t>
  </si>
  <si>
    <t>ofs_ar_invoices_insert::aud_dim_id::Target Definition</t>
  </si>
  <si>
    <t>UPD_ofs_ar_invoices_insert::prcs_sts_cd::Update Strategy</t>
  </si>
  <si>
    <t>ofs_ar_invoices_insert::prcs_sts_cd::Target Definition</t>
  </si>
  <si>
    <t>UPD_ofs_ar_invoices_insert::intf_sts_cd::Update Strategy</t>
  </si>
  <si>
    <t>ofs_ar_invoices_insert::confm_intf_sts_cd::Target Definition</t>
  </si>
  <si>
    <t>UPD_ofs_ar_invoices_insert::user_cd::Update Strategy</t>
  </si>
  <si>
    <t>ofs_ar_invoices_insert::cre_user_cd::Target Definition</t>
  </si>
  <si>
    <t>ofs_ar_invoices_insert::mod_user_cd::Target Definition</t>
  </si>
  <si>
    <t>UPD_ofs_ar_invoices_insert::session_start_time::Update Strategy</t>
  </si>
  <si>
    <t>ofs_ar_invoices_insert::cre_ts::Target Definition</t>
  </si>
  <si>
    <t>ofs_ar_invoices_insert::mod_ts::Target Definition</t>
  </si>
  <si>
    <t>UPD_ofs_ar_invoices_insert::etl_trans_id::Update Strategy</t>
  </si>
  <si>
    <t>ofs_ar_invoices_insert::etl_trans_id::Target Definition</t>
  </si>
  <si>
    <t>UPD_ofs_ar_invoices_insert::extn_sys_cd::Update Strategy</t>
  </si>
  <si>
    <t>ofs_ar_invoices_insert::extn_sys_cd::Target Definition</t>
  </si>
  <si>
    <t>UPD_ofs_ar_invoices_insert::batch_id::Update Strategy</t>
  </si>
  <si>
    <t>ofs_ar_invoices_insert::batch_id::Target Definition</t>
  </si>
  <si>
    <t>UPD_ofs_ar_invoices_insert::batch_name::Update Strategy</t>
  </si>
  <si>
    <t>ofs_ar_invoices_insert::batch_name::Target Definition</t>
  </si>
  <si>
    <t>UPD_ofs_ar_invoices_insert::o_org_id::Update Strategy</t>
  </si>
  <si>
    <t>ofs_ar_invoices_insert::org_id::Target Definition</t>
  </si>
  <si>
    <t>UPD_ofs_ar_invoices_insert::o_batch_source_id::Update Strategy</t>
  </si>
  <si>
    <t>ofs_ar_invoices_insert::batch_source_id::Target Definition</t>
  </si>
  <si>
    <t>UPD_ofs_ar_invoices_insert::company::Update Strategy</t>
  </si>
  <si>
    <t>ofs_ar_invoices_insert::company::Target Definition</t>
  </si>
  <si>
    <t>UPD_ofs_ar_invoices_insert::company_description::Update Strategy</t>
  </si>
  <si>
    <t>ofs_ar_invoices_insert::company_description::Target Definition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</si>
</sst>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000000"/>
      <name val="Calibri"/>
      <family val="2"/>
      <scheme val="minor"/>
    </font>
    <font>
      <sz val="16"/>
      <color rgb="FF1E4E7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/>
        <bgColor indexed="64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4" borderId="1" applyNumberFormat="0" applyAlignment="0" applyProtection="0"/>
    <xf numFmtId="0" fontId="5" fillId="0" borderId="0" applyNumberFormat="0" applyFill="0" applyBorder="0" applyAlignment="0" applyProtection="0"/>
  </cellStyleXfs>
  <cellXfs count="28">
    <xf numFmtId="0" fontId="0" fillId="0" borderId="0" xfId="0"/>
    <xf numFmtId="49" fontId="0" fillId="0" borderId="0" xfId="0" applyNumberFormat="1"/>
    <xf numFmtId="0" fontId="0" fillId="0" borderId="0" xfId="0" applyAlignment="1">
      <alignment wrapText="1"/>
    </xf>
    <xf numFmtId="49" fontId="0" fillId="0" borderId="0" xfId="0" applyNumberFormat="1" applyAlignment="1">
      <alignment wrapText="1"/>
    </xf>
    <xf numFmtId="0" fontId="0" fillId="0" borderId="2" xfId="0" applyBorder="1"/>
    <xf numFmtId="49" fontId="0" fillId="0" borderId="2" xfId="0" applyNumberFormat="1" applyBorder="1"/>
    <xf numFmtId="0" fontId="0" fillId="3" borderId="2" xfId="0" applyFill="1" applyBorder="1"/>
    <xf numFmtId="0" fontId="0" fillId="0" borderId="0" xfId="0" applyFont="1" applyFill="1" applyBorder="1"/>
    <xf numFmtId="49" fontId="0" fillId="0" borderId="0" xfId="1" applyNumberFormat="1" applyFont="1" applyFill="1" applyBorder="1"/>
    <xf numFmtId="49" fontId="0" fillId="0" borderId="0" xfId="0" applyNumberFormat="1" applyFont="1" applyFill="1" applyBorder="1"/>
    <xf numFmtId="0" fontId="2" fillId="4" borderId="1" xfId="2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3" fillId="0" borderId="0" xfId="0" applyFont="1" applyAlignment="1">
      <alignment horizontal="left" vertical="center" indent="1"/>
    </xf>
    <xf numFmtId="0" fontId="5" fillId="0" borderId="0" xfId="3" applyAlignment="1">
      <alignment horizontal="left" vertical="center" indent="1"/>
    </xf>
    <xf numFmtId="0" fontId="3" fillId="0" borderId="0" xfId="0" applyFont="1" applyAlignment="1">
      <alignment vertical="center"/>
    </xf>
    <xf numFmtId="0" fontId="0" fillId="0" borderId="0" xfId="0" applyAlignment="1">
      <alignment vertical="center" readingOrder="1"/>
    </xf>
    <xf numFmtId="0" fontId="5" fillId="0" borderId="0" xfId="3" applyAlignment="1">
      <alignment vertical="center"/>
    </xf>
    <xf numFmtId="0" fontId="0" fillId="0" borderId="0" xfId="0" applyNumberFormat="1"/>
    <xf numFmtId="0" fontId="6" fillId="5" borderId="2" xfId="0" applyFont="1" applyFill="1" applyBorder="1" applyAlignment="1">
      <alignment horizontal="left"/>
    </xf>
    <xf numFmtId="49" fontId="6" fillId="5" borderId="2" xfId="0" applyNumberFormat="1" applyFont="1" applyFill="1" applyBorder="1" applyAlignment="1">
      <alignment horizontal="center"/>
    </xf>
    <xf numFmtId="0" fontId="6" fillId="5" borderId="2" xfId="0" applyFont="1" applyFill="1" applyBorder="1"/>
    <xf numFmtId="49" fontId="6" fillId="5" borderId="2" xfId="0" applyNumberFormat="1" applyFont="1" applyFill="1" applyBorder="1"/>
    <xf numFmtId="0" fontId="0" fillId="0" borderId="0" xfId="0" applyNumberFormat="1" applyFont="1" applyFill="1" applyBorder="1"/>
    <xf numFmtId="0" fontId="6" fillId="0" borderId="0" xfId="1" applyNumberFormat="1" applyFont="1" applyFill="1" applyBorder="1"/>
    <xf numFmtId="0" fontId="6" fillId="0" borderId="1" xfId="1" applyNumberFormat="1" applyFont="1" applyFill="1"/>
    <xf numFmtId="0" fontId="7" fillId="0" borderId="0" xfId="0" applyFont="1"/>
    <xf numFmtId="0" fontId="0" fillId="3" borderId="2" xfId="0" applyFill="1" applyBorder="1" applyAlignment="1">
      <alignment horizontal="center"/>
    </xf>
  </cellXfs>
  <cellStyles count="4">
    <cellStyle name="Calculation" xfId="2" builtinId="22"/>
    <cellStyle name="Hyperlink" xfId="3" builtinId="8"/>
    <cellStyle name="Input" xfId="1" builtinId="20"/>
    <cellStyle name="Normal" xfId="0" builtinId="0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POWERMART">
        <xsd:complexType>
          <xsd:sequence minOccurs="0">
            <xsd:element minOccurs="0" nillable="true" name="REPOSITORY" form="unqualified">
              <xsd:complexType>
                <xsd:sequence minOccurs="0">
                  <xsd:element minOccurs="0" nillable="true" name="FOLDER" form="unqualified">
                    <xsd:complexType>
                      <xsd:sequence minOccurs="0">
                        <xsd:element minOccurs="0" maxOccurs="unbounded" nillable="true" name="SOURCE" form="unqualified">
                          <xsd:complexType>
                            <xsd:sequence minOccurs="0">
                              <xsd:element minOccurs="0" maxOccurs="unbounded" nillable="true" name="SOURCEFIELD" form="unqualified">
                                <xsd:complexType>
                                  <xsd:attribute name="BUSINESSNAME" form="unqualified" type="xsd:string"/>
                                  <xsd:attribute name="DATATYPE" form="unqualified" type="xsd:string"/>
                                  <xsd:attribute name="DESCRIPTION" form="unqualified" type="xsd:string"/>
                                  <xsd:attribute name="FIELDNUMBER" form="unqualified" type="xsd:integer"/>
                                  <xsd:attribute name="FIELDPROPERTY" form="unqualified" type="xsd:integer"/>
                                  <xsd:attribute name="FIELDTYPE" form="unqualified" type="xsd:string"/>
                                  <xsd:attribute name="HIDDEN" form="unqualified" type="xsd:string"/>
                                  <xsd:attribute name="KEYTYPE" form="unqualified" type="xsd:string"/>
                                  <xsd:attribute name="LENGTH" form="unqualified" type="xsd:integer"/>
                                  <xsd:attribute name="LEVEL" form="unqualified" type="xsd:integer"/>
                                  <xsd:attribute name="NAME" form="unqualified" type="xsd:string"/>
                                  <xsd:attribute name="NULLABLE" form="unqualified" type="xsd:string"/>
                                  <xsd:attribute name="OCCURS" form="unqualified" type="xsd:integer"/>
                                  <xsd:attribute name="OFFSET" form="unqualified" type="xsd:integer"/>
                                  <xsd:attribute name="PHYSICALLENGTH" form="unqualified" type="xsd:integer"/>
                                  <xsd:attribute name="PHYSICALOFFSET" form="unqualified" type="xsd:integer"/>
                                  <xsd:attribute name="PICTURETEXT" form="unqualified" type="xsd:string"/>
                                  <xsd:attribute name="PRECISION" form="unqualified" type="xsd:integer"/>
                                  <xsd:attribute name="SCALE" form="unqualified" type="xsd:integer"/>
                                  <xsd:attribute name="USAGE_FLAGS" form="unqualified" type="xsd:string"/>
                                </xsd:complexType>
                              </xsd:element>
                            </xsd:sequence>
                            <xsd:attribute name="BUSINESSNAME" form="unqualified" type="xsd:string"/>
                            <xsd:attribute name="DATABASETYPE" form="unqualified" type="xsd:string"/>
                            <xsd:attribute name="DBDNAME" form="unqualified" type="xsd:string"/>
                            <xsd:attribute name="DESCRIPTION" form="unqualified" type="xsd:string"/>
                            <xsd:attribute name="NAME" form="unqualified" type="xsd:string"/>
                            <xsd:attribute name="OBJECTVERSION" form="unqualified" type="xsd:integer"/>
                            <xsd:attribute name="OWNERNAME" form="unqualified" type="xsd:string"/>
                            <xsd:attribute name="VERSIONNUMBER" form="unqualified" type="xsd:integer"/>
                          </xsd:complexType>
                        </xsd:element>
                        <xsd:element minOccurs="0" nillable="true" name="TARGET" form="unqualified">
                          <xsd:complexType>
                            <xsd:sequence minOccurs="0">
                              <xsd:element minOccurs="0" maxOccurs="unbounded" nillable="true" name="TARGETFIELD" form="unqualified">
                                <xsd:complexType>
                                  <xsd:attribute name="BUSINESSNAME" form="unqualified" type="xsd:string"/>
                                  <xsd:attribute name="DATATYPE" form="unqualified" type="xsd:string"/>
                                  <xsd:attribute name="DESCRIPTION" form="unqualified" type="xsd:string"/>
                                  <xsd:attribute name="FIELDNUMBER" form="unqualified" type="xsd:integer"/>
                                  <xsd:attribute name="KEYTYPE" form="unqualified" type="xsd:string"/>
                                  <xsd:attribute name="NAME" form="unqualified" type="xsd:string"/>
                                  <xsd:attribute name="NULLABLE" form="unqualified" type="xsd:string"/>
                                  <xsd:attribute name="PICTURETEXT" form="unqualified" type="xsd:string"/>
                                  <xsd:attribute name="PRECISION" form="unqualified" type="xsd:integer"/>
                                  <xsd:attribute name="SCALE" form="unqualified" type="xsd:integer"/>
                                </xsd:complexType>
                              </xsd:element>
                            </xsd:sequence>
                            <xsd:attribute name="BUSINESSNAME" form="unqualified" type="xsd:string"/>
                            <xsd:attribute name="CONSTRAINT" form="unqualified" type="xsd:string"/>
                            <xsd:attribute name="DATABASETYPE" form="unqualified" type="xsd:string"/>
                            <xsd:attribute name="DESCRIPTION" form="unqualified" type="xsd:string"/>
                            <xsd:attribute name="NAME" form="unqualified" type="xsd:string"/>
                            <xsd:attribute name="OBJECTVERSION" form="unqualified" type="xsd:integer"/>
                            <xsd:attribute name="TABLEOPTIONS" form="unqualified" type="xsd:string"/>
                            <xsd:attribute name="VERSIONNUMBER" form="unqualified" type="xsd:integer"/>
                          </xsd:complexType>
                        </xsd:element>
                        <xsd:element minOccurs="0" nillable="true" name="MAPPING" form="unqualified">
                          <xsd:complexType>
                            <xsd:sequence minOccurs="0">
                              <xsd:element minOccurs="0" maxOccurs="unbounded" nillable="true" name="TRANSFORMATION" form="unqualified">
                                <xsd:complexType>
                                  <xsd:sequence minOccurs="0">
                                    <xsd:element minOccurs="0" maxOccurs="unbounded" nillable="true" name="TRANSFORMFIELD" form="unqualified">
                                      <xsd:complexType>
                                        <xsd:attribute name="DATATYPE" form="unqualified" type="xsd:string"/>
                                        <xsd:attribute name="DEFAULTVALUE" form="unqualified" type="xsd:string"/>
                                        <xsd:attribute name="DESCRIPTION" form="unqualified" type="xsd:string"/>
                                        <xsd:attribute name="EXPRESSION" form="unqualified" type="xsd:string"/>
                                        <xsd:attribute name="EXPRESSIONTYPE" form="unqualified" type="xsd:string"/>
                                        <xsd:attribute name="NAME" form="unqualified" type="xsd:string"/>
                                        <xsd:attribute name="PICTURETEXT" form="unqualified" type="xsd:string"/>
                                        <xsd:attribute name="PORTTYPE" form="unqualified" type="xsd:string"/>
                                        <xsd:attribute name="PRECISION" form="unqualified" type="xsd:integer"/>
                                        <xsd:attribute name="SCALE" form="unqualified" type="xsd:integer"/>
                                      </xsd:complexType>
                                    </xsd:element>
                                    <xsd:element minOccurs="0" maxOccurs="unbounded" nillable="true" name="TABLEATTRIBUTE" form="unqualified">
                                      <xsd:complexType>
                                        <xsd:attribute name="NAME" form="unqualified" type="xsd:string"/>
                                        <xsd:attribute name="VALUE" form="unqualified" type="xsd:string"/>
                                      </xsd:complexType>
                                    </xsd:element>
                                  </xsd:sequence>
                                  <xsd:attribute name="DESCRIPTION" form="unqualified" type="xsd:string"/>
                                  <xsd:attribute name="NAME" form="unqualified" type="xsd:string"/>
                                  <xsd:attribute name="OBJECTVERSION" form="unqualified" type="xsd:integer"/>
                                  <xsd:attribute name="REUSABLE" form="unqualified" type="xsd:string"/>
                                  <xsd:attribute name="TYPE" form="unqualified" type="xsd:string"/>
                                  <xsd:attribute name="VERSIONNUMBER" form="unqualified" type="xsd:integer"/>
                                </xsd:complexType>
                              </xsd:element>
                              <xsd:element minOccurs="0" maxOccurs="unbounded" nillable="true" name="INSTANCE" form="unqualified">
                                <xsd:complexType>
                                  <xsd:sequence minOccurs="0">
                                    <xsd:element minOccurs="0" maxOccurs="unbounded" nillable="true" name="ASSOCIATED_SOURCE_INSTANCE" form="unqualified">
                                      <xsd:complexType>
                                        <xsd:attribute name="NAME" form="unqualified" type="xsd:string"/>
                                      </xsd:complexType>
                                    </xsd:element>
                                  </xsd:sequence>
                                  <xsd:attribute name="DESCRIPTION" form="unqualified" type="xsd:string"/>
                                  <xsd:attribute name="NAME" form="unqualified" type="xsd:string"/>
                                  <xsd:attribute name="TRANSFORMATION_NAME" form="unqualified" type="xsd:string"/>
                                  <xsd:attribute name="TRANSFORMATION_TYPE" form="unqualified" type="xsd:string"/>
                                  <xsd:attribute name="TYPE" form="unqualified" type="xsd:string"/>
                                  <xsd:attribute name="DBDNAME" form="unqualified" type="xsd:string"/>
                                  <xsd:attribute name="REUSABLE" form="unqualified" type="xsd:string"/>
                                </xsd:complexType>
                              </xsd:element>
                              <xsd:element minOccurs="0" maxOccurs="unbounded" nillable="true" name="CONNECTOR" form="unqualified">
                                <xsd:complexType>
                                  <xsd:attribute name="FROMFIELD" form="unqualified" type="xsd:string"/>
                                  <xsd:attribute name="FROMINSTANCE" form="unqualified" type="xsd:string"/>
                                  <xsd:attribute name="FROMINSTANCETYPE" form="unqualified" type="xsd:string"/>
                                  <xsd:attribute name="TOFIELD" form="unqualified" type="xsd:string"/>
                                  <xsd:attribute name="TOINSTANCE" form="unqualified" type="xsd:string"/>
                                  <xsd:attribute name="TOINSTANCETYPE" form="unqualified" type="xsd:string"/>
                                </xsd:complexType>
                              </xsd:element>
                              <xsd:element minOccurs="0" nillable="true" name="TARGETLOADORDER" form="unqualified">
                                <xsd:complexType>
                                  <xsd:attribute name="ORDER" form="unqualified" type="xsd:integer"/>
                                  <xsd:attribute name="TARGETINSTANCE" form="unqualified" type="xsd:string"/>
                                </xsd:complexType>
                              </xsd:element>
                              <xsd:element minOccurs="0" nillable="true" name="MAPPINGVARIABLE" form="unqualified">
                                <xsd:complexType>
                                  <xsd:attribute name="DATATYPE" form="unqualified" type="xsd:string"/>
                                  <xsd:attribute name="DEFAULTVALUE" form="unqualified" type="xsd:string"/>
                                  <xsd:attribute name="DESCRIPTION" form="unqualified" type="xsd:string"/>
                                  <xsd:attribute name="ISEXPRESSIONVARIABLE" form="unqualified" type="xsd:string"/>
                                  <xsd:attribute name="ISPARAM" form="unqualified" type="xsd:string"/>
                                  <xsd:attribute name="NAME" form="unqualified" type="xsd:string"/>
                                  <xsd:attribute name="PRECISION" form="unqualified" type="xsd:integer"/>
                                  <xsd:attribute name="SCALE" form="unqualified" type="xsd:integer"/>
                                  <xsd:attribute name="USERDEFINED" form="unqualified" type="xsd:string"/>
                                </xsd:complexType>
                              </xsd:element>
                              <xsd:element minOccurs="0" nillable="true" type="xsd:string" name="ERPINFO" form="unqualified"/>
                            </xsd:sequence>
                            <xsd:attribute name="DESCRIPTION" form="unqualified" type="xsd:string"/>
                            <xsd:attribute name="ISVALID" form="unqualified" type="xsd:string"/>
                            <xsd:attribute name="NAME" form="unqualified" type="xsd:string"/>
                            <xsd:attribute name="OBJECTVERSION" form="unqualified" type="xsd:integer"/>
                            <xsd:attribute name="VERSIONNUMBER" form="unqualified" type="xsd:integer"/>
                          </xsd:complexType>
                        </xsd:element>
                      </xsd:sequence>
                      <xsd:attribute name="NAME" form="unqualified" type="xsd:string"/>
                      <xsd:attribute name="GROUP" form="unqualified" type="xsd:string"/>
                      <xsd:attribute name="OWNER" form="unqualified" type="xsd:string"/>
                      <xsd:attribute name="SHARED" form="unqualified" type="xsd:string"/>
                      <xsd:attribute name="DESCRIPTION" form="unqualified" type="xsd:string"/>
                      <xsd:attribute name="PERMISSIONS" form="unqualified" type="xsd:string"/>
                      <xsd:attribute name="UUID" form="unqualified" type="xsd:string"/>
                    </xsd:complexType>
                  </xsd:element>
                </xsd:sequence>
                <xsd:attribute name="NAME" form="unqualified" type="xsd:string"/>
                <xsd:attribute name="VERSION" form="unqualified" type="xsd:integer"/>
                <xsd:attribute name="CODEPAGE" form="unqualified" type="xsd:string"/>
                <xsd:attribute name="DATABASETYPE" form="unqualified" type="xsd:string"/>
              </xsd:complexType>
            </xsd:element>
          </xsd:sequence>
          <xsd:attribute name="CREATION_DATE" form="unqualified" type="xsd:string"/>
          <xsd:attribute name="REPOSITORY_VERSION" form="unqualified" type="xsd:double"/>
        </xsd:complexType>
      </xsd:element>
    </xsd:schema>
  </Schema>
  <Map ID="1" Name="POWERMART_Map" RootElement="POWERMART" SchemaID="Schema1" ShowImportExportValidationErrors="false" AutoFit="true" Append="false" PreserveSortAFLayout="true" PreserveFormat="true">
    <DataBinding FileBinding="true" ConnectionID="3" DataBindingLoadMode="1"/>
  </Map>
</MapInfo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owerPivotData" Target="model/item.data"/><Relationship Id="rId26" Type="http://schemas.openxmlformats.org/officeDocument/2006/relationships/customXml" Target="../customXml/item7.xml"/><Relationship Id="rId39" Type="http://schemas.openxmlformats.org/officeDocument/2006/relationships/customXml" Target="../customXml/item20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41" Type="http://schemas.openxmlformats.org/officeDocument/2006/relationships/customXml" Target="../customXml/item2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40" Type="http://schemas.openxmlformats.org/officeDocument/2006/relationships/customXml" Target="../customXml/item2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43" Type="http://schemas.openxmlformats.org/officeDocument/2006/relationships/xmlMaps" Target="xmlMap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openxmlformats.org/officeDocument/2006/relationships/customXml" Target="../customXml/item1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6</xdr:row>
      <xdr:rowOff>9526</xdr:rowOff>
    </xdr:from>
    <xdr:to>
      <xdr:col>5</xdr:col>
      <xdr:colOff>266700</xdr:colOff>
      <xdr:row>9</xdr:row>
      <xdr:rowOff>142876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229350" y="1228726"/>
          <a:ext cx="4953000" cy="781050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This</a:t>
          </a:r>
          <a:r>
            <a:rPr lang="en-US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Excel reports on the contents of  one or more XML exports from Informatica map objects. </a:t>
          </a:r>
        </a:p>
        <a:p>
          <a:r>
            <a:rPr lang="en-US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endParaRPr lang="en-US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4</xdr:col>
      <xdr:colOff>2390775</xdr:colOff>
      <xdr:row>22</xdr:row>
      <xdr:rowOff>47625</xdr:rowOff>
    </xdr:from>
    <xdr:to>
      <xdr:col>15</xdr:col>
      <xdr:colOff>276225</xdr:colOff>
      <xdr:row>39</xdr:row>
      <xdr:rowOff>66675</xdr:rowOff>
    </xdr:to>
    <xdr:pic>
      <xdr:nvPicPr>
        <xdr:cNvPr id="3" name="Picture 2" descr="C:\Users\deferbrw\AppData\Local\Temp\msohtmlclip1\02\clip_image001.p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77550" y="4467225"/>
          <a:ext cx="6410325" cy="3333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14</xdr:row>
          <xdr:rowOff>47625</xdr:rowOff>
        </xdr:from>
        <xdr:to>
          <xdr:col>4</xdr:col>
          <xdr:colOff>200025</xdr:colOff>
          <xdr:row>16</xdr:row>
          <xdr:rowOff>95250</xdr:rowOff>
        </xdr:to>
        <xdr:sp macro="" textlink="">
          <xdr:nvSpPr>
            <xdr:cNvPr id="1027" name="AnalyseNewMapXML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142875</xdr:colOff>
      <xdr:row>2</xdr:row>
      <xdr:rowOff>9526</xdr:rowOff>
    </xdr:from>
    <xdr:to>
      <xdr:col>13</xdr:col>
      <xdr:colOff>219075</xdr:colOff>
      <xdr:row>18</xdr:row>
      <xdr:rowOff>38100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11058525" y="390526"/>
          <a:ext cx="4953000" cy="3305174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Instructions</a:t>
          </a:r>
        </a:p>
        <a:p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*Open the desired map in the Informatica Design Client</a:t>
          </a:r>
        </a:p>
        <a:p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*Right click on the map object and select Export</a:t>
          </a:r>
        </a:p>
        <a:p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*Repeat</a:t>
          </a:r>
          <a:r>
            <a:rPr lang="en-US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for all exports desired to be loaded to this workbook</a:t>
          </a:r>
        </a:p>
        <a:p>
          <a:r>
            <a:rPr lang="en-US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*Place a copy of this workbook in the same folder as the exported 	Informatica maps (optional makes selecting easier)</a:t>
          </a:r>
        </a:p>
        <a:p>
          <a:r>
            <a:rPr lang="en-US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*Click the orange "Snalyse New Infa Maps XLM" button</a:t>
          </a:r>
        </a:p>
        <a:p>
          <a:r>
            <a:rPr lang="en-US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*Select all maps you wish to be loaded to this workbook</a:t>
          </a:r>
        </a:p>
        <a:p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	*Green tabs contain the results</a:t>
          </a:r>
        </a:p>
        <a:p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	*Blue tabs are working tabs</a:t>
          </a:r>
          <a:r>
            <a:rPr lang="en-US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and only contain the last 		map loaded</a:t>
          </a:r>
          <a:endParaRPr lang="en-US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*Press the Analyse New Infa Map XML button on this sheet</a:t>
          </a:r>
        </a:p>
        <a:p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*Select the XML files prepped in the steps above</a:t>
          </a:r>
        </a:p>
        <a:p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*Wait</a:t>
          </a:r>
          <a:r>
            <a:rPr lang="en-US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for the Excel to finish processing</a:t>
          </a:r>
          <a:endParaRPr lang="en-US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2352675</xdr:colOff>
      <xdr:row>19</xdr:row>
      <xdr:rowOff>152401</xdr:rowOff>
    </xdr:from>
    <xdr:to>
      <xdr:col>13</xdr:col>
      <xdr:colOff>0</xdr:colOff>
      <xdr:row>22</xdr:row>
      <xdr:rowOff>57150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0839450" y="4000501"/>
          <a:ext cx="4953000" cy="476249"/>
        </a:xfrm>
        <a:prstGeom prst="rect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200" b="0" cap="none" spc="0">
              <a:ln w="0"/>
              <a:solidFill>
                <a:schemeClr val="accent1">
                  <a:lumMod val="20000"/>
                  <a:lumOff val="8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NOTE:  The process will remove the line highlighted below from the XML files, it freaks out the Excel XML parser if present</a:t>
          </a:r>
          <a:r>
            <a:rPr lang="en-US" sz="1200" b="0" cap="none" spc="0" baseline="0">
              <a:ln w="0"/>
              <a:solidFill>
                <a:schemeClr val="accent1">
                  <a:lumMod val="20000"/>
                  <a:lumOff val="8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endParaRPr lang="en-US" sz="1200" b="0" cap="none" spc="0">
            <a:ln w="0"/>
            <a:solidFill>
              <a:schemeClr val="accent1">
                <a:lumMod val="20000"/>
                <a:lumOff val="8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2" name="MapsAll" displayName="MapsAll" ref="A2:B3" totalsRowShown="0">
  <autoFilter ref="A2:B3"/>
  <sortState ref="A3:B3">
    <sortCondition ref="B2:B3"/>
  </sortState>
  <tableColumns count="2">
    <tableColumn id="1" name="Maps In The Workbook"/>
    <tableColumn id="2" name="Folder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id="1" name="OutputTable" displayName="OutputTable" ref="A1:H89" totalsRowShown="0">
  <autoFilter ref="A1:H89"/>
  <tableColumns count="8">
    <tableColumn id="8" name="MAP"/>
    <tableColumn id="1" name="SOURCE_INSTANCE"/>
    <tableColumn id="2" name="SOURCE_FIELD"/>
    <tableColumn id="3" name="SOURCE TYPE"/>
    <tableColumn id="4" name="TARGET_INSTANCE"/>
    <tableColumn id="5" name="TARGET_FIELD"/>
    <tableColumn id="6" name="TARGET TYPE"/>
    <tableColumn id="7" name="INTERMEDIATE_STEPS (working target to source)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id="13" name="SourcesAll" displayName="SourcesAll" ref="A1:K9" totalsRowShown="0">
  <autoFilter ref="A1:K9"/>
  <tableColumns count="11">
    <tableColumn id="1" name="MAP"/>
    <tableColumn id="2" name="SOURCE_NAME"/>
    <tableColumn id="3" name="DB_NAME"/>
    <tableColumn id="4" name="DB_TYPE"/>
    <tableColumn id="5" name="DB_OWNER"/>
    <tableColumn id="6" name="VERSION_#"/>
    <tableColumn id="7" name="DB_DESCRIPTION"/>
    <tableColumn id="8" name="FIELD_NAME"/>
    <tableColumn id="9" name="FLD_KEY_TYPE"/>
    <tableColumn id="10" name="NULLABLE"/>
    <tableColumn id="11" name="FLD_#"/>
  </tableColumns>
  <tableStyleInfo name="TableStyleMedium14" showFirstColumn="0" showLastColumn="0" showRowStripes="1" showColumnStripes="0"/>
</table>
</file>

<file path=xl/tables/table4.xml><?xml version="1.0" encoding="utf-8"?>
<table xmlns="http://schemas.openxmlformats.org/spreadsheetml/2006/main" id="14" name="TargetsAll" displayName="TargetsAll" ref="A1:J10" totalsRowShown="0">
  <autoFilter ref="A1:J10"/>
  <tableColumns count="10">
    <tableColumn id="1" name="MAP"/>
    <tableColumn id="2" name="NAME"/>
    <tableColumn id="3" name="DESCRIPTION"/>
    <tableColumn id="4" name="DATABASE_TYPE"/>
    <tableColumn id="5" name="FLD_NAME"/>
    <tableColumn id="6" name="FLD_DESCRIPTION"/>
    <tableColumn id="7" name="DATATYPE"/>
    <tableColumn id="8" name="FIELDNUMBER"/>
    <tableColumn id="9" name="KEYTYPE"/>
    <tableColumn id="10" name="NULLABLE"/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id="5" name="TranformsAll" displayName="TranformsAll" ref="A1:K26" totalsRowShown="0">
  <autoFilter ref="A1:K26"/>
  <tableColumns count="11">
    <tableColumn id="1" name="TYPE"/>
    <tableColumn id="2" name="FIELD_NAME"/>
    <tableColumn id="3" name="FLD_DESCRIPTION"/>
    <tableColumn id="4" name="EXPRESSION"/>
    <tableColumn id="5" name="EXPRESSIONTYPE"/>
    <tableColumn id="6" name="PORTTYPE"/>
    <tableColumn id="7" name="DEFAULTVALUE"/>
    <tableColumn id="8" name="DATATYPE"/>
    <tableColumn id="9" name="Column1"/>
    <tableColumn id="10" name="Column2"/>
    <tableColumn id="11" name="Column3"/>
  </tableColumns>
  <tableStyleInfo name="TableStyleMedium14" showFirstColumn="0" showLastColumn="0" showRowStripes="1" showColumnStripes="0"/>
</table>
</file>

<file path=xl/tables/table6.xml><?xml version="1.0" encoding="utf-8"?>
<table xmlns="http://schemas.openxmlformats.org/spreadsheetml/2006/main" id="7" name="InstancesAll" displayName="InstancesAll" ref="A1:H8" totalsRowShown="0">
  <autoFilter ref="A1:H8"/>
  <tableColumns count="8">
    <tableColumn id="1" name="MAP"/>
    <tableColumn id="2" name="NAME"/>
    <tableColumn id="3" name="DESCRIPTION"/>
    <tableColumn id="4" name="TRANSFORMATION_NAME"/>
    <tableColumn id="5" name="TRANSFORMATION_TYPE"/>
    <tableColumn id="6" name="TYPE"/>
    <tableColumn id="7" name="DBDNAME"/>
    <tableColumn id="8" name="ASSOCIATED_SRC_INSTANCE"/>
  </tableColumns>
  <tableStyleInfo name="TableStyleMedium14" showFirstColumn="0" showLastColumn="0" showRowStripes="1" showColumnStripes="0"/>
</table>
</file>

<file path=xl/tables/table7.xml><?xml version="1.0" encoding="utf-8"?>
<table xmlns="http://schemas.openxmlformats.org/spreadsheetml/2006/main" id="10" name="ConnectorsAll" displayName="ConnectorsAll" ref="A1:I30" totalsRowShown="0">
  <autoFilter ref="A1:I30"/>
  <tableColumns count="9">
    <tableColumn id="1" name="MAP"/>
    <tableColumn id="2" name="FROMINSTANCE"/>
    <tableColumn id="3" name="FROMFIELD"/>
    <tableColumn id="4" name="FROMINSTANCETYPE"/>
    <tableColumn id="5" name="TOINSTANCE"/>
    <tableColumn id="6" name="TOFIELD"/>
    <tableColumn id="7" name="TOINSTANCETYPE"/>
    <tableColumn id="8" name="FromComposite"/>
    <tableColumn id="9" name="ToComposite"/>
  </tableColumns>
  <tableStyleInfo name="TableStyleMedium14" showFirstColumn="0" showLastColumn="0" showRowStripes="1" showColumnStripes="0"/>
</table>
</file>

<file path=xl/tables/table8.xml><?xml version="1.0" encoding="utf-8"?>
<table xmlns="http://schemas.openxmlformats.org/spreadsheetml/2006/main" id="11" name="Sources" displayName="Sources" ref="A1:K1134" tableType="xml" totalsRowShown="0" headerRowDxfId="7" connectionId="3">
  <autoFilter ref="A1:K1134"/>
  <tableColumns count="11">
    <tableColumn id="6" uniqueName="6" name="MAP" dataDxfId="6">
      <calculatedColumnFormula xml:space="preserve">  MapNameLkup</calculatedColumnFormula>
    </tableColumn>
    <tableColumn id="1" uniqueName="NAME" name="SOURCE_NAME">
      <xmlColumnPr mapId="1" xpath="/POWERMART/REPOSITORY/FOLDER/SOURCE/@NAME" xmlDataType="string"/>
    </tableColumn>
    <tableColumn id="2" uniqueName="DBDNAME" name="DB_NAME">
      <xmlColumnPr mapId="1" xpath="/POWERMART/REPOSITORY/FOLDER/SOURCE/@DBDNAME" xmlDataType="string"/>
    </tableColumn>
    <tableColumn id="3" uniqueName="DATABASETYPE" name="DB_TYPE">
      <xmlColumnPr mapId="1" xpath="/POWERMART/REPOSITORY/FOLDER/SOURCE/@DATABASETYPE" xmlDataType="string"/>
    </tableColumn>
    <tableColumn id="4" uniqueName="OWNERNAME" name="DB_OWNER">
      <xmlColumnPr mapId="1" xpath="/POWERMART/REPOSITORY/FOLDER/SOURCE/@OWNERNAME" xmlDataType="string"/>
    </tableColumn>
    <tableColumn id="5" uniqueName="VERSIONNUMBER" name="VERSION_#">
      <xmlColumnPr mapId="1" xpath="/POWERMART/REPOSITORY/FOLDER/SOURCE/@VERSIONNUMBER" xmlDataType="integer"/>
    </tableColumn>
    <tableColumn id="20" uniqueName="DESCRIPTION" name="DB_DESCRIPTION">
      <xmlColumnPr mapId="1" xpath="/POWERMART/REPOSITORY/FOLDER/SOURCE/@DESCRIPTION" xmlDataType="string"/>
    </tableColumn>
    <tableColumn id="21" uniqueName="NAME" name="FIELD_NAME">
      <xmlColumnPr mapId="1" xpath="/POWERMART/REPOSITORY/FOLDER/SOURCE/SOURCEFIELD/@NAME" xmlDataType="string"/>
    </tableColumn>
    <tableColumn id="23" uniqueName="KEYTYPE" name="FLD_KEY_TYPE">
      <xmlColumnPr mapId="1" xpath="/POWERMART/REPOSITORY/FOLDER/SOURCE/SOURCEFIELD/@KEYTYPE" xmlDataType="string"/>
    </tableColumn>
    <tableColumn id="26" uniqueName="NULLABLE" name="NULLABLE">
      <xmlColumnPr mapId="1" xpath="/POWERMART/REPOSITORY/FOLDER/SOURCE/SOURCEFIELD/@NULLABLE" xmlDataType="string"/>
    </tableColumn>
    <tableColumn id="28" uniqueName="FIELDNUMBER" name="FLD_#">
      <xmlColumnPr mapId="1" xpath="/POWERMART/REPOSITORY/FOLDER/SOURCE/SOURCEFIELD/@FIELDNUMBER" xmlDataType="integer"/>
    </tableColumn>
  </tableColumns>
  <tableStyleInfo name="TableStyleDark6" showFirstColumn="0" showLastColumn="0" showRowStripes="1" showColumnStripes="0"/>
</table>
</file>

<file path=xl/tables/table9.xml><?xml version="1.0" encoding="utf-8"?>
<table xmlns="http://schemas.openxmlformats.org/spreadsheetml/2006/main" id="29" name="Targets" displayName="Targets" ref="A1:J55" tableType="xml" totalsRowShown="0" connectionId="3">
  <autoFilter ref="A1:J55"/>
  <tableColumns count="10">
    <tableColumn id="10" uniqueName="10" name="MAP">
      <calculatedColumnFormula xml:space="preserve">  MapNameLkup</calculatedColumnFormula>
    </tableColumn>
    <tableColumn id="7" uniqueName="NAME" name="NAME">
      <xmlColumnPr mapId="1" xpath="/POWERMART/REPOSITORY/FOLDER/TARGET/@NAME" xmlDataType="string"/>
    </tableColumn>
    <tableColumn id="8" uniqueName="DESCRIPTION" name="DESCRIPTION">
      <xmlColumnPr mapId="1" xpath="/POWERMART/REPOSITORY/FOLDER/TARGET/@DESCRIPTION" xmlDataType="string"/>
    </tableColumn>
    <tableColumn id="9" uniqueName="DATABASETYPE" name="DATABASE_TYPE">
      <xmlColumnPr mapId="1" xpath="/POWERMART/REPOSITORY/FOLDER/TARGET/@DATABASETYPE" xmlDataType="string"/>
    </tableColumn>
    <tableColumn id="1" uniqueName="NAME" name="FLD_NAME">
      <xmlColumnPr mapId="1" xpath="/POWERMART/REPOSITORY/FOLDER/TARGET/TARGETFIELD/@NAME" xmlDataType="string"/>
    </tableColumn>
    <tableColumn id="2" uniqueName="DESCRIPTION" name="FLD_DESCRIPTION">
      <xmlColumnPr mapId="1" xpath="/POWERMART/REPOSITORY/FOLDER/TARGET/TARGETFIELD/@DESCRIPTION" xmlDataType="string"/>
    </tableColumn>
    <tableColumn id="3" uniqueName="DATATYPE" name="DATATYPE">
      <xmlColumnPr mapId="1" xpath="/POWERMART/REPOSITORY/FOLDER/TARGET/TARGETFIELD/@DATATYPE" xmlDataType="string"/>
    </tableColumn>
    <tableColumn id="4" uniqueName="FIELDNUMBER" name="FIELDNUMBER">
      <xmlColumnPr mapId="1" xpath="/POWERMART/REPOSITORY/FOLDER/TARGET/TARGETFIELD/@FIELDNUMBER" xmlDataType="integer"/>
    </tableColumn>
    <tableColumn id="5" uniqueName="KEYTYPE" name="KEYTYPE">
      <xmlColumnPr mapId="1" xpath="/POWERMART/REPOSITORY/FOLDER/TARGET/TARGETFIELD/@KEYTYPE" xmlDataType="string"/>
    </tableColumn>
    <tableColumn id="6" uniqueName="NULLABLE" name="NULLABLE">
      <xmlColumnPr mapId="1" xpath="/POWERMART/REPOSITORY/FOLDER/TARGET/TARGETFIELD/@NULLABLE" xmlDataType="string"/>
    </tableColumn>
  </tableColumns>
  <tableStyleInfo name="TableStyleDark6" showFirstColumn="0" showLastColumn="0" showRowStripes="1" showColumnStripes="0"/>
</table>
</file>

<file path=xl/tables/table10.xml><?xml version="1.0" encoding="utf-8"?>
<table xmlns="http://schemas.openxmlformats.org/spreadsheetml/2006/main" id="30" name="Transformations" displayName="Transformations" ref="A1:K379" tableType="xml" totalsRowShown="0" connectionId="3">
  <autoFilter ref="A1:K379"/>
  <tableColumns count="11">
    <tableColumn id="11" uniqueName="11" name="MAP" dataDxfId="5">
      <calculatedColumnFormula xml:space="preserve">  MapNameLkup</calculatedColumnFormula>
    </tableColumn>
    <tableColumn id="1" uniqueName="NAME" name="NAME">
      <xmlColumnPr mapId="1" xpath="/POWERMART/REPOSITORY/FOLDER/MAPPING/TRANSFORMATION/@NAME" xmlDataType="string"/>
    </tableColumn>
    <tableColumn id="2" uniqueName="DESCRIPTION" name="DESCRIPTION">
      <xmlColumnPr mapId="1" xpath="/POWERMART/REPOSITORY/FOLDER/MAPPING/TRANSFORMATION/@DESCRIPTION" xmlDataType="string"/>
    </tableColumn>
    <tableColumn id="3" uniqueName="TYPE" name="TYPE">
      <xmlColumnPr mapId="1" xpath="/POWERMART/REPOSITORY/FOLDER/MAPPING/TRANSFORMATION/@TYPE" xmlDataType="string"/>
    </tableColumn>
    <tableColumn id="4" uniqueName="NAME" name="FIELD_NAME">
      <xmlColumnPr mapId="1" xpath="/POWERMART/REPOSITORY/FOLDER/MAPPING/TRANSFORMATION/TRANSFORMFIELD/@NAME" xmlDataType="string"/>
    </tableColumn>
    <tableColumn id="5" uniqueName="DESCRIPTION" name="FLD_DESCRIPTION">
      <xmlColumnPr mapId="1" xpath="/POWERMART/REPOSITORY/FOLDER/MAPPING/TRANSFORMATION/TRANSFORMFIELD/@DESCRIPTION" xmlDataType="string"/>
    </tableColumn>
    <tableColumn id="6" uniqueName="EXPRESSION" name="EXPRESSION">
      <xmlColumnPr mapId="1" xpath="/POWERMART/REPOSITORY/FOLDER/MAPPING/TRANSFORMATION/TRANSFORMFIELD/@EXPRESSION" xmlDataType="string"/>
    </tableColumn>
    <tableColumn id="7" uniqueName="EXPRESSIONTYPE" name="EXPRESSIONTYPE">
      <xmlColumnPr mapId="1" xpath="/POWERMART/REPOSITORY/FOLDER/MAPPING/TRANSFORMATION/TRANSFORMFIELD/@EXPRESSIONTYPE" xmlDataType="string"/>
    </tableColumn>
    <tableColumn id="8" uniqueName="PORTTYPE" name="PORTTYPE">
      <xmlColumnPr mapId="1" xpath="/POWERMART/REPOSITORY/FOLDER/MAPPING/TRANSFORMATION/TRANSFORMFIELD/@PORTTYPE" xmlDataType="string"/>
    </tableColumn>
    <tableColumn id="9" uniqueName="DEFAULTVALUE" name="DEFAULTVALUE">
      <xmlColumnPr mapId="1" xpath="/POWERMART/REPOSITORY/FOLDER/MAPPING/TRANSFORMATION/TRANSFORMFIELD/@DEFAULTVALUE" xmlDataType="string"/>
    </tableColumn>
    <tableColumn id="10" uniqueName="DATATYPE" name="DATATYPE">
      <xmlColumnPr mapId="1" xpath="/POWERMART/REPOSITORY/FOLDER/MAPPING/TRANSFORMATION/TRANSFORMFIELD/@DATATYPE" xmlDataType="string"/>
    </tableColumn>
  </tableColumns>
  <tableStyleInfo name="TableStyleDark6" showFirstColumn="0" showLastColumn="0" showRowStripes="1" showColumnStripes="0"/>
</table>
</file>

<file path=xl/tables/table11.xml><?xml version="1.0" encoding="utf-8"?>
<table xmlns="http://schemas.openxmlformats.org/spreadsheetml/2006/main" id="31" name="Instances" displayName="Instances" ref="A1:H52" tableType="xml" totalsRowShown="0" connectionId="3">
  <autoFilter ref="A1:H52"/>
  <tableColumns count="8">
    <tableColumn id="8" uniqueName="8" name="MAP" dataDxfId="4">
      <calculatedColumnFormula xml:space="preserve"> MapNameLkup</calculatedColumnFormula>
    </tableColumn>
    <tableColumn id="3" uniqueName="TRANSFORMATION_NAME" name="TRANSFORMATION_NAME" dataDxfId="3">
      <xmlColumnPr mapId="1" xpath="/POWERMART/REPOSITORY/FOLDER/MAPPING/INSTANCE/@TRANSFORMATION_NAME" xmlDataType="string"/>
    </tableColumn>
    <tableColumn id="2" uniqueName="DESCRIPTION" name="DESCRIPTION">
      <xmlColumnPr mapId="1" xpath="/POWERMART/REPOSITORY/FOLDER/MAPPING/INSTANCE/@DESCRIPTION" xmlDataType="string"/>
    </tableColumn>
    <tableColumn id="4" uniqueName="TRANSFORMATION_TYPE" name="TRANSFORMATION_TYPE">
      <xmlColumnPr mapId="1" xpath="/POWERMART/REPOSITORY/FOLDER/MAPPING/INSTANCE/@TRANSFORMATION_TYPE" xmlDataType="string"/>
    </tableColumn>
    <tableColumn id="5" uniqueName="TYPE" name="TYPE">
      <xmlColumnPr mapId="1" xpath="/POWERMART/REPOSITORY/FOLDER/MAPPING/INSTANCE/@TYPE" xmlDataType="string"/>
    </tableColumn>
    <tableColumn id="6" uniqueName="DBDNAME" name="DBDNAME">
      <xmlColumnPr mapId="1" xpath="/POWERMART/REPOSITORY/FOLDER/MAPPING/INSTANCE/@DBDNAME" xmlDataType="string"/>
    </tableColumn>
    <tableColumn id="7" uniqueName="NAME" name="ASSOCIATED_SRC_INSTANCE" dataDxfId="2">
      <xmlColumnPr mapId="1" xpath="/POWERMART/REPOSITORY/FOLDER/MAPPING/INSTANCE/ASSOCIATED_SOURCE_INSTANCE/@NAME" xmlDataType="string"/>
    </tableColumn>
    <tableColumn id="1" uniqueName="NAME" name="ASSOCIATED_SRC_INSTANCE_NAME" dataDxfId="1">
      <xmlColumnPr mapId="1" xpath="/POWERMART/REPOSITORY/FOLDER/MAPPING/INSTANCE/@NAME" xmlDataType="string"/>
    </tableColumn>
  </tableColumns>
  <tableStyleInfo name="TableStyleDark6" showFirstColumn="0" showLastColumn="0" showRowStripes="1" showColumnStripes="0"/>
</table>
</file>

<file path=xl/tables/table12.xml><?xml version="1.0" encoding="utf-8"?>
<table xmlns="http://schemas.openxmlformats.org/spreadsheetml/2006/main" id="32" name="Connectors" displayName="Connectors" ref="A1:I397" tableType="xml" totalsRowShown="0" connectionId="3">
  <autoFilter ref="A1:I397"/>
  <sortState ref="B2:J259">
    <sortCondition ref="G1:G259"/>
  </sortState>
  <tableColumns count="9">
    <tableColumn id="9" uniqueName="9" name="MAP" dataDxfId="0" dataCellStyle="Input">
      <calculatedColumnFormula xml:space="preserve"> MapNameLkup</calculatedColumnFormula>
    </tableColumn>
    <tableColumn id="1" uniqueName="FROMINSTANCE" name="FROMINSTANCE">
      <xmlColumnPr mapId="1" xpath="/POWERMART/REPOSITORY/FOLDER/MAPPING/CONNECTOR/@FROMINSTANCE" xmlDataType="string"/>
    </tableColumn>
    <tableColumn id="2" uniqueName="FROMFIELD" name="FROMFIELD">
      <xmlColumnPr mapId="1" xpath="/POWERMART/REPOSITORY/FOLDER/MAPPING/CONNECTOR/@FROMFIELD" xmlDataType="string"/>
    </tableColumn>
    <tableColumn id="3" uniqueName="FROMINSTANCETYPE" name="FROMINSTANCETYPE">
      <xmlColumnPr mapId="1" xpath="/POWERMART/REPOSITORY/FOLDER/MAPPING/CONNECTOR/@FROMINSTANCETYPE" xmlDataType="string"/>
    </tableColumn>
    <tableColumn id="4" uniqueName="TOINSTANCE" name="TOINSTANCE">
      <xmlColumnPr mapId="1" xpath="/POWERMART/REPOSITORY/FOLDER/MAPPING/CONNECTOR/@TOINSTANCE" xmlDataType="string"/>
    </tableColumn>
    <tableColumn id="5" uniqueName="TOFIELD" name="TOFIELD">
      <xmlColumnPr mapId="1" xpath="/POWERMART/REPOSITORY/FOLDER/MAPPING/CONNECTOR/@TOFIELD" xmlDataType="string"/>
    </tableColumn>
    <tableColumn id="6" uniqueName="TOINSTANCETYPE" name="TOINSTANCETYPE">
      <xmlColumnPr mapId="1" xpath="/POWERMART/REPOSITORY/FOLDER/MAPPING/CONNECTOR/@TOINSTANCETYPE" xmlDataType="string"/>
    </tableColumn>
    <tableColumn id="7" uniqueName="7" name="FromComposite" dataCellStyle="Calculation">
      <calculatedColumnFormula>CONCATENATE(Connectors[[#This Row],[FROMINSTANCE]],"::",Connectors[[#This Row],[FROMFIELD]],"::",Connectors[[#This Row],[FROMINSTANCETYPE]])</calculatedColumnFormula>
    </tableColumn>
    <tableColumn id="8" uniqueName="8" name="ToComposite" dataCellStyle="Calculation">
      <calculatedColumnFormula>CONCATENATE(Connectors[[#This Row],[TOINSTANCE]],"::",Connectors[[#This Row],[TOFIELD]],"::",Connectors[[#This Row],[TOINSTANCETYPE]])</calculatedColumnFormula>
    </tableColumn>
  </tableColumns>
  <tableStyleInfo name="TableStyleDark6" showFirstColumn="0" showLastColumn="0" showRowStripes="1" showColumnStripes="0"/>
</table>
</file>

<file path=xl/tables/tableSingleCells1.xml><?xml version="1.0" encoding="utf-8"?>
<singleXmlCells xmlns="http://schemas.openxmlformats.org/spreadsheetml/2006/main">
  <singleXmlCell id="4" r="E78" connectionId="3">
    <xmlCellPr id="1" uniqueName="NAME">
      <xmlPr mapId="1" xpath="/POWERMART/REPOSITORY/FOLDER/@NAME" xmlDataType="string"/>
    </xmlCellPr>
  </singleXmlCell>
  <singleXmlCell id="6" r="E79" connectionId="3">
    <xmlCellPr id="1" uniqueName="OWNER">
      <xmlPr mapId="1" xpath="/POWERMART/REPOSITORY/FOLDER/@OWNER" xmlDataType="string"/>
    </xmlCellPr>
  </singleXmlCell>
  <singleXmlCell id="8" r="E80" connectionId="3">
    <xmlCellPr id="1" uniqueName="DESCRIPTION">
      <xmlPr mapId="1" xpath="/POWERMART/REPOSITORY/FOLDER/@DESCRIPTION" xmlDataType="string"/>
    </xmlCellPr>
  </singleXmlCell>
  <singleXmlCell id="9" r="E81" connectionId="3">
    <xmlCellPr id="1" uniqueName="UUID">
      <xmlPr mapId="1" xpath="/POWERMART/REPOSITORY/FOLDER/@UUID" xmlDataType="string"/>
    </xmlCellPr>
  </singleXmlCell>
  <singleXmlCell id="20" r="E2" connectionId="3">
    <xmlCellPr id="1" uniqueName="REPOSITORY_VERSION">
      <xmlPr mapId="1" xpath="/POWERMART/@REPOSITORY_VERSION" xmlDataType="double"/>
    </xmlCellPr>
  </singleXmlCell>
  <singleXmlCell id="21" r="E3" connectionId="3">
    <xmlCellPr id="1" uniqueName="NAME">
      <xmlPr mapId="1" xpath="/POWERMART/REPOSITORY/@NAME" xmlDataType="string"/>
    </xmlCellPr>
  </singleXmlCell>
  <singleXmlCell id="22" r="E4" connectionId="3">
    <xmlCellPr id="1" uniqueName="DATABASETYPE">
      <xmlPr mapId="1" xpath="/POWERMART/REPOSITORY/@DATABASETYPE" xmlDataType="string"/>
    </xmlCellPr>
  </singleXmlCell>
  <singleXmlCell id="3" r="E77" connectionId="3">
    <xmlCellPr id="1" uniqueName="NAME">
      <xmlPr mapId="1" xpath="/POWERMART/REPOSITORY/FOLDER/MAPPING/@NAME" xmlDataType="string"/>
    </xmlCellPr>
  </singleXmlCell>
</singleXmlCel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SingleCells" Target="../tables/tableSingleCell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/>
  </sheetPr>
  <dimension ref="A1:H81"/>
  <sheetViews>
    <sheetView showGridLines="0" tabSelected="1" workbookViewId="0">
      <selection activeCell="B10" sqref="B10"/>
    </sheetView>
  </sheetViews>
  <sheetFormatPr defaultRowHeight="15" x14ac:dyDescent="0.25"/>
  <cols>
    <col min="1" max="1" width="48" customWidth="1"/>
    <col min="2" max="2" width="30.140625" customWidth="1"/>
    <col min="4" max="4" width="33.7109375" customWidth="1"/>
    <col min="5" max="5" width="36.42578125" customWidth="1"/>
  </cols>
  <sheetData>
    <row r="1" spans="1:8" x14ac:dyDescent="0.25">
      <c r="D1" s="27" t="s">
        <v>18</v>
      </c>
      <c r="E1" s="27"/>
    </row>
    <row r="2" spans="1:8" x14ac:dyDescent="0.25">
      <c r="A2" s="7" t="s">
        <v>73</v>
      </c>
      <c r="B2" t="s">
        <v>74</v>
      </c>
      <c r="D2" s="6" t="s">
        <v>17</v>
      </c>
      <c r="E2" s="4">
        <v>186.95</v>
      </c>
    </row>
    <row r="3" spans="1:8" ht="21" x14ac:dyDescent="0.25">
      <c r="A3" t="s">
        <v>955</v>
      </c>
      <c r="B3" t="s">
        <v>87</v>
      </c>
      <c r="D3" s="6" t="s">
        <v>3</v>
      </c>
      <c r="E3" s="5" t="s">
        <v>89</v>
      </c>
      <c r="H3" s="12"/>
    </row>
    <row r="4" spans="1:8" x14ac:dyDescent="0.25">
      <c r="D4" s="6" t="s">
        <v>19</v>
      </c>
      <c r="E4" s="5" t="s">
        <v>12</v>
      </c>
      <c r="H4" s="13"/>
    </row>
    <row r="5" spans="1:8" x14ac:dyDescent="0.25">
      <c r="H5" s="13"/>
    </row>
    <row r="6" spans="1:8" x14ac:dyDescent="0.25">
      <c r="H6" s="14"/>
    </row>
    <row r="7" spans="1:8" x14ac:dyDescent="0.25">
      <c r="H7" s="15"/>
    </row>
    <row r="8" spans="1:8" x14ac:dyDescent="0.25">
      <c r="H8" s="15"/>
    </row>
    <row r="9" spans="1:8" ht="21" x14ac:dyDescent="0.25">
      <c r="H9" s="12"/>
    </row>
    <row r="10" spans="1:8" x14ac:dyDescent="0.25">
      <c r="H10" s="14"/>
    </row>
    <row r="11" spans="1:8" x14ac:dyDescent="0.25">
      <c r="H11" s="13"/>
    </row>
    <row r="12" spans="1:8" x14ac:dyDescent="0.25">
      <c r="H12" s="13"/>
    </row>
    <row r="13" spans="1:8" x14ac:dyDescent="0.25">
      <c r="H13" s="13"/>
    </row>
    <row r="14" spans="1:8" x14ac:dyDescent="0.25">
      <c r="H14" s="11"/>
    </row>
    <row r="15" spans="1:8" x14ac:dyDescent="0.25">
      <c r="H15" s="11"/>
    </row>
    <row r="16" spans="1:8" ht="21" x14ac:dyDescent="0.25">
      <c r="H16" s="12" t="s">
        <v>69</v>
      </c>
    </row>
    <row r="17" spans="8:8" x14ac:dyDescent="0.25">
      <c r="H17" s="11"/>
    </row>
    <row r="18" spans="8:8" x14ac:dyDescent="0.25">
      <c r="H18" s="11"/>
    </row>
    <row r="19" spans="8:8" x14ac:dyDescent="0.25">
      <c r="H19" s="11"/>
    </row>
    <row r="20" spans="8:8" x14ac:dyDescent="0.25">
      <c r="H20" s="11"/>
    </row>
    <row r="21" spans="8:8" x14ac:dyDescent="0.25">
      <c r="H21" s="11"/>
    </row>
    <row r="22" spans="8:8" x14ac:dyDescent="0.25">
      <c r="H22" s="11"/>
    </row>
    <row r="23" spans="8:8" x14ac:dyDescent="0.25">
      <c r="H23" s="11"/>
    </row>
    <row r="24" spans="8:8" x14ac:dyDescent="0.25">
      <c r="H24" s="11"/>
    </row>
    <row r="25" spans="8:8" x14ac:dyDescent="0.25">
      <c r="H25" s="11"/>
    </row>
    <row r="26" spans="8:8" x14ac:dyDescent="0.25">
      <c r="H26" s="11"/>
    </row>
    <row r="27" spans="8:8" x14ac:dyDescent="0.25">
      <c r="H27" s="11"/>
    </row>
    <row r="28" spans="8:8" x14ac:dyDescent="0.25">
      <c r="H28" s="11"/>
    </row>
    <row r="30" spans="8:8" x14ac:dyDescent="0.25">
      <c r="H30" s="16"/>
    </row>
    <row r="36" spans="8:8" x14ac:dyDescent="0.25">
      <c r="H36" s="15"/>
    </row>
    <row r="37" spans="8:8" ht="21" x14ac:dyDescent="0.25">
      <c r="H37" s="12"/>
    </row>
    <row r="38" spans="8:8" x14ac:dyDescent="0.25">
      <c r="H38" s="17"/>
    </row>
    <row r="39" spans="8:8" x14ac:dyDescent="0.25">
      <c r="H39" s="13"/>
    </row>
    <row r="40" spans="8:8" x14ac:dyDescent="0.25">
      <c r="H40" s="13"/>
    </row>
    <row r="41" spans="8:8" x14ac:dyDescent="0.25">
      <c r="H41" s="13"/>
    </row>
    <row r="42" spans="8:8" x14ac:dyDescent="0.25">
      <c r="H42" s="13"/>
    </row>
    <row r="43" spans="8:8" x14ac:dyDescent="0.25">
      <c r="H43" s="13"/>
    </row>
    <row r="76" spans="4:5" x14ac:dyDescent="0.25">
      <c r="D76" s="26" t="s">
        <v>82</v>
      </c>
    </row>
    <row r="77" spans="4:5" x14ac:dyDescent="0.25">
      <c r="D77" s="19" t="s">
        <v>77</v>
      </c>
      <c r="E77" s="20" t="s">
        <v>90</v>
      </c>
    </row>
    <row r="78" spans="4:5" x14ac:dyDescent="0.25">
      <c r="D78" s="21" t="s">
        <v>76</v>
      </c>
      <c r="E78" s="22" t="s">
        <v>87</v>
      </c>
    </row>
    <row r="79" spans="4:5" x14ac:dyDescent="0.25">
      <c r="D79" s="21" t="s">
        <v>80</v>
      </c>
      <c r="E79" s="22" t="s">
        <v>81</v>
      </c>
    </row>
    <row r="80" spans="4:5" x14ac:dyDescent="0.25">
      <c r="D80" s="21" t="s">
        <v>78</v>
      </c>
      <c r="E80" s="22"/>
    </row>
    <row r="81" spans="4:5" x14ac:dyDescent="0.25">
      <c r="D81" s="21" t="s">
        <v>79</v>
      </c>
      <c r="E81" s="22" t="s">
        <v>88</v>
      </c>
    </row>
  </sheetData>
  <mergeCells count="1">
    <mergeCell ref="D1:E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AnalyseNewMapXMLButton">
          <controlPr defaultSize="0" autoLine="0" r:id="rId5">
            <anchor moveWithCells="1">
              <from>
                <xdr:col>2</xdr:col>
                <xdr:colOff>419100</xdr:colOff>
                <xdr:row>14</xdr:row>
                <xdr:rowOff>47625</xdr:rowOff>
              </from>
              <to>
                <xdr:col>4</xdr:col>
                <xdr:colOff>200025</xdr:colOff>
                <xdr:row>16</xdr:row>
                <xdr:rowOff>95250</xdr:rowOff>
              </to>
            </anchor>
          </controlPr>
        </control>
      </mc:Choice>
      <mc:Fallback>
        <control shapeId="1027" r:id="rId4" name="AnalyseNewMapXMLButton"/>
      </mc:Fallback>
    </mc:AlternateContent>
  </controls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 tint="-0.499984740745262"/>
  </sheetPr>
  <dimension ref="A1:H89"/>
  <sheetViews>
    <sheetView showGridLines="0" workbookViewId="0"/>
  </sheetViews>
  <sheetFormatPr defaultRowHeight="15" x14ac:dyDescent="0.25"/>
  <cols>
    <col min="1" max="1" width="45" customWidth="1"/>
    <col min="2" max="2" width="29" customWidth="1"/>
    <col min="3" max="3" width="30.42578125" customWidth="1"/>
    <col min="4" max="4" width="22.28515625" customWidth="1"/>
    <col min="5" max="5" width="25.42578125" customWidth="1"/>
    <col min="6" max="6" width="33.7109375" customWidth="1"/>
    <col min="7" max="7" width="19.7109375" customWidth="1"/>
    <col min="8" max="8" width="126.140625" customWidth="1"/>
    <col min="9" max="9" width="137.42578125" customWidth="1"/>
  </cols>
  <sheetData>
    <row r="1" spans="1:8" x14ac:dyDescent="0.25">
      <c r="A1" t="s">
        <v>16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72</v>
      </c>
    </row>
    <row r="2" spans="1:8" x14ac:dyDescent="0.25">
      <c r="A2" t="s">
        <v>955</v>
      </c>
      <c r="B2" t="s">
        <v>99</v>
      </c>
      <c r="C2" t="s">
        <v>510</v>
      </c>
      <c r="D2" t="s">
        <v>52</v>
      </c>
      <c r="E2" t="s">
        <v>99</v>
      </c>
      <c r="F2" t="s">
        <v>510</v>
      </c>
      <c r="G2" t="s">
        <v>51</v>
      </c>
      <c r="H2" t="s">
        <v>956</v>
      </c>
    </row>
    <row r="3" spans="1:8" x14ac:dyDescent="0.25">
      <c r="A3" t="s">
        <v>955</v>
      </c>
      <c r="B3" t="s">
        <v>99</v>
      </c>
      <c r="C3" t="s">
        <v>511</v>
      </c>
      <c r="D3" t="s">
        <v>52</v>
      </c>
      <c r="E3" t="s">
        <v>99</v>
      </c>
      <c r="F3" t="s">
        <v>511</v>
      </c>
      <c r="G3" t="s">
        <v>51</v>
      </c>
      <c r="H3" t="s">
        <v>957</v>
      </c>
    </row>
    <row r="4" spans="1:8" x14ac:dyDescent="0.25">
      <c r="A4" t="s">
        <v>955</v>
      </c>
      <c r="B4" t="s">
        <v>851</v>
      </c>
      <c r="C4" t="s">
        <v>869</v>
      </c>
      <c r="D4" t="s">
        <v>6</v>
      </c>
      <c r="E4" t="s">
        <v>99</v>
      </c>
      <c r="F4" t="s">
        <v>154</v>
      </c>
      <c r="G4" t="s">
        <v>51</v>
      </c>
      <c r="H4" t="s">
        <v>958</v>
      </c>
    </row>
    <row r="5" spans="1:8" x14ac:dyDescent="0.25">
      <c r="A5" t="s">
        <v>955</v>
      </c>
      <c r="B5" t="s">
        <v>846</v>
      </c>
      <c r="C5" t="s">
        <v>864</v>
      </c>
      <c r="D5" t="s">
        <v>6</v>
      </c>
      <c r="E5" t="s">
        <v>829</v>
      </c>
      <c r="F5" t="s">
        <v>838</v>
      </c>
      <c r="G5" t="s">
        <v>51</v>
      </c>
      <c r="H5" t="s">
        <v>959</v>
      </c>
    </row>
    <row r="6" spans="1:8" x14ac:dyDescent="0.25">
      <c r="A6" t="s">
        <v>955</v>
      </c>
      <c r="B6" t="s">
        <v>951</v>
      </c>
      <c r="C6" t="s">
        <v>123</v>
      </c>
      <c r="D6" t="s">
        <v>52</v>
      </c>
      <c r="E6" t="s">
        <v>829</v>
      </c>
      <c r="F6" t="s">
        <v>326</v>
      </c>
      <c r="G6" t="s">
        <v>51</v>
      </c>
      <c r="H6" t="s">
        <v>960</v>
      </c>
    </row>
    <row r="7" spans="1:8" x14ac:dyDescent="0.25">
      <c r="A7" t="s">
        <v>955</v>
      </c>
      <c r="B7" t="s">
        <v>102</v>
      </c>
      <c r="C7" t="s">
        <v>321</v>
      </c>
      <c r="D7" t="s">
        <v>52</v>
      </c>
      <c r="E7" t="s">
        <v>953</v>
      </c>
      <c r="F7" t="s">
        <v>137</v>
      </c>
      <c r="G7" t="s">
        <v>51</v>
      </c>
      <c r="H7" t="s">
        <v>961</v>
      </c>
    </row>
    <row r="8" spans="1:8" x14ac:dyDescent="0.25">
      <c r="A8" t="s">
        <v>955</v>
      </c>
      <c r="B8" t="s">
        <v>95</v>
      </c>
      <c r="C8" t="s">
        <v>3</v>
      </c>
      <c r="D8" t="s">
        <v>52</v>
      </c>
      <c r="E8" t="s">
        <v>953</v>
      </c>
      <c r="F8" t="s">
        <v>138</v>
      </c>
      <c r="G8" t="s">
        <v>51</v>
      </c>
      <c r="H8" t="s">
        <v>962</v>
      </c>
    </row>
    <row r="9" spans="1:8" x14ac:dyDescent="0.25">
      <c r="A9" t="s">
        <v>955</v>
      </c>
      <c r="B9" t="s">
        <v>93</v>
      </c>
      <c r="C9" t="s">
        <v>3</v>
      </c>
      <c r="D9" t="s">
        <v>52</v>
      </c>
      <c r="E9" t="s">
        <v>953</v>
      </c>
      <c r="F9" t="s">
        <v>139</v>
      </c>
      <c r="G9" t="s">
        <v>51</v>
      </c>
      <c r="H9" t="s">
        <v>963</v>
      </c>
    </row>
    <row r="10" spans="1:8" x14ac:dyDescent="0.25">
      <c r="A10" t="s">
        <v>955</v>
      </c>
      <c r="B10" t="s">
        <v>100</v>
      </c>
      <c r="C10" t="s">
        <v>513</v>
      </c>
      <c r="D10" t="s">
        <v>52</v>
      </c>
      <c r="E10" t="s">
        <v>953</v>
      </c>
      <c r="F10" t="s">
        <v>140</v>
      </c>
      <c r="G10" t="s">
        <v>51</v>
      </c>
      <c r="H10" t="s">
        <v>964</v>
      </c>
    </row>
    <row r="11" spans="1:8" x14ac:dyDescent="0.25">
      <c r="A11" t="s">
        <v>955</v>
      </c>
      <c r="B11" t="s">
        <v>100</v>
      </c>
      <c r="C11" t="s">
        <v>513</v>
      </c>
      <c r="D11" t="s">
        <v>52</v>
      </c>
      <c r="E11" t="s">
        <v>953</v>
      </c>
      <c r="F11" t="s">
        <v>141</v>
      </c>
      <c r="G11" t="s">
        <v>51</v>
      </c>
      <c r="H11" t="s">
        <v>965</v>
      </c>
    </row>
    <row r="12" spans="1:8" x14ac:dyDescent="0.25">
      <c r="A12" t="s">
        <v>955</v>
      </c>
      <c r="B12" t="s">
        <v>103</v>
      </c>
      <c r="C12" t="s">
        <v>156</v>
      </c>
      <c r="D12" t="s">
        <v>52</v>
      </c>
      <c r="E12" t="s">
        <v>953</v>
      </c>
      <c r="F12" t="s">
        <v>142</v>
      </c>
      <c r="G12" t="s">
        <v>51</v>
      </c>
      <c r="H12" t="s">
        <v>966</v>
      </c>
    </row>
    <row r="13" spans="1:8" x14ac:dyDescent="0.25">
      <c r="A13" t="s">
        <v>955</v>
      </c>
      <c r="B13" t="s">
        <v>103</v>
      </c>
      <c r="C13" t="s">
        <v>154</v>
      </c>
      <c r="D13" t="s">
        <v>52</v>
      </c>
      <c r="E13" t="s">
        <v>953</v>
      </c>
      <c r="F13" t="s">
        <v>143</v>
      </c>
      <c r="G13" t="s">
        <v>51</v>
      </c>
      <c r="H13" t="s">
        <v>967</v>
      </c>
    </row>
    <row r="14" spans="1:8" x14ac:dyDescent="0.25">
      <c r="A14" t="s">
        <v>955</v>
      </c>
      <c r="B14" t="s">
        <v>103</v>
      </c>
      <c r="C14" t="s">
        <v>422</v>
      </c>
      <c r="D14" t="s">
        <v>52</v>
      </c>
      <c r="E14" t="s">
        <v>953</v>
      </c>
      <c r="F14" t="s">
        <v>144</v>
      </c>
      <c r="G14" t="s">
        <v>51</v>
      </c>
      <c r="H14" t="s">
        <v>968</v>
      </c>
    </row>
    <row r="15" spans="1:8" x14ac:dyDescent="0.25">
      <c r="A15" t="s">
        <v>955</v>
      </c>
      <c r="B15" t="s">
        <v>103</v>
      </c>
      <c r="C15" t="s">
        <v>376</v>
      </c>
      <c r="D15" t="s">
        <v>52</v>
      </c>
      <c r="E15" t="s">
        <v>953</v>
      </c>
      <c r="F15" t="s">
        <v>145</v>
      </c>
      <c r="G15" t="s">
        <v>51</v>
      </c>
      <c r="H15" t="s">
        <v>969</v>
      </c>
    </row>
    <row r="16" spans="1:8" x14ac:dyDescent="0.25">
      <c r="A16" t="s">
        <v>955</v>
      </c>
      <c r="B16" t="s">
        <v>859</v>
      </c>
      <c r="C16" t="s">
        <v>146</v>
      </c>
      <c r="D16" t="s">
        <v>6</v>
      </c>
      <c r="E16" t="s">
        <v>953</v>
      </c>
      <c r="F16" t="s">
        <v>146</v>
      </c>
      <c r="G16" t="s">
        <v>51</v>
      </c>
      <c r="H16" t="s">
        <v>970</v>
      </c>
    </row>
    <row r="17" spans="1:8" x14ac:dyDescent="0.25">
      <c r="A17" t="s">
        <v>955</v>
      </c>
      <c r="B17" t="s">
        <v>859</v>
      </c>
      <c r="C17" t="s">
        <v>147</v>
      </c>
      <c r="D17" t="s">
        <v>6</v>
      </c>
      <c r="E17" t="s">
        <v>953</v>
      </c>
      <c r="F17" t="s">
        <v>147</v>
      </c>
      <c r="G17" t="s">
        <v>51</v>
      </c>
      <c r="H17" t="s">
        <v>971</v>
      </c>
    </row>
    <row r="18" spans="1:8" x14ac:dyDescent="0.25">
      <c r="A18" t="s">
        <v>955</v>
      </c>
      <c r="B18" t="s">
        <v>859</v>
      </c>
      <c r="C18" t="s">
        <v>879</v>
      </c>
      <c r="D18" t="s">
        <v>6</v>
      </c>
      <c r="E18" t="s">
        <v>953</v>
      </c>
      <c r="F18" t="s">
        <v>148</v>
      </c>
      <c r="G18" t="s">
        <v>51</v>
      </c>
      <c r="H18" t="s">
        <v>972</v>
      </c>
    </row>
    <row r="19" spans="1:8" x14ac:dyDescent="0.25">
      <c r="A19" t="s">
        <v>955</v>
      </c>
      <c r="B19" t="s">
        <v>859</v>
      </c>
      <c r="C19" t="s">
        <v>880</v>
      </c>
      <c r="D19" t="s">
        <v>6</v>
      </c>
      <c r="E19" t="s">
        <v>953</v>
      </c>
      <c r="F19" t="s">
        <v>149</v>
      </c>
      <c r="G19" t="s">
        <v>51</v>
      </c>
      <c r="H19" t="s">
        <v>973</v>
      </c>
    </row>
    <row r="20" spans="1:8" x14ac:dyDescent="0.25">
      <c r="A20" t="s">
        <v>955</v>
      </c>
      <c r="B20" t="s">
        <v>859</v>
      </c>
      <c r="C20" t="s">
        <v>880</v>
      </c>
      <c r="D20" t="s">
        <v>6</v>
      </c>
      <c r="E20" t="s">
        <v>953</v>
      </c>
      <c r="F20" t="s">
        <v>151</v>
      </c>
      <c r="G20" t="s">
        <v>51</v>
      </c>
      <c r="H20" t="s">
        <v>974</v>
      </c>
    </row>
    <row r="21" spans="1:8" x14ac:dyDescent="0.25">
      <c r="A21" t="s">
        <v>955</v>
      </c>
      <c r="B21" t="s">
        <v>859</v>
      </c>
      <c r="C21" t="s">
        <v>866</v>
      </c>
      <c r="D21" t="s">
        <v>6</v>
      </c>
      <c r="E21" t="s">
        <v>953</v>
      </c>
      <c r="F21" t="s">
        <v>150</v>
      </c>
      <c r="G21" t="s">
        <v>51</v>
      </c>
      <c r="H21" t="s">
        <v>975</v>
      </c>
    </row>
    <row r="22" spans="1:8" x14ac:dyDescent="0.25">
      <c r="A22" t="s">
        <v>955</v>
      </c>
      <c r="B22" t="s">
        <v>859</v>
      </c>
      <c r="C22" t="s">
        <v>866</v>
      </c>
      <c r="D22" t="s">
        <v>6</v>
      </c>
      <c r="E22" t="s">
        <v>953</v>
      </c>
      <c r="F22" t="s">
        <v>152</v>
      </c>
      <c r="G22" t="s">
        <v>51</v>
      </c>
      <c r="H22" t="s">
        <v>976</v>
      </c>
    </row>
    <row r="23" spans="1:8" x14ac:dyDescent="0.25">
      <c r="A23" t="s">
        <v>955</v>
      </c>
      <c r="B23" t="s">
        <v>859</v>
      </c>
      <c r="C23" t="s">
        <v>113</v>
      </c>
      <c r="D23" t="s">
        <v>6</v>
      </c>
      <c r="E23" t="s">
        <v>953</v>
      </c>
      <c r="F23" t="s">
        <v>113</v>
      </c>
      <c r="G23" t="s">
        <v>51</v>
      </c>
      <c r="H23" t="s">
        <v>977</v>
      </c>
    </row>
    <row r="24" spans="1:8" x14ac:dyDescent="0.25">
      <c r="A24" t="s">
        <v>955</v>
      </c>
      <c r="B24" t="s">
        <v>859</v>
      </c>
      <c r="C24" t="s">
        <v>114</v>
      </c>
      <c r="D24" t="s">
        <v>6</v>
      </c>
      <c r="E24" t="s">
        <v>953</v>
      </c>
      <c r="F24" t="s">
        <v>114</v>
      </c>
      <c r="G24" t="s">
        <v>51</v>
      </c>
      <c r="H24" t="s">
        <v>978</v>
      </c>
    </row>
    <row r="25" spans="1:8" x14ac:dyDescent="0.25">
      <c r="A25" t="s">
        <v>955</v>
      </c>
      <c r="B25" t="s">
        <v>102</v>
      </c>
      <c r="C25" t="s">
        <v>673</v>
      </c>
      <c r="D25" t="s">
        <v>52</v>
      </c>
      <c r="E25" t="s">
        <v>953</v>
      </c>
      <c r="F25" t="s">
        <v>115</v>
      </c>
      <c r="G25" t="s">
        <v>51</v>
      </c>
      <c r="H25" t="s">
        <v>979</v>
      </c>
    </row>
    <row r="26" spans="1:8" x14ac:dyDescent="0.25">
      <c r="A26" t="s">
        <v>955</v>
      </c>
      <c r="B26" t="s">
        <v>92</v>
      </c>
      <c r="C26" t="s">
        <v>3</v>
      </c>
      <c r="D26" t="s">
        <v>52</v>
      </c>
      <c r="E26" t="s">
        <v>953</v>
      </c>
      <c r="F26" t="s">
        <v>116</v>
      </c>
      <c r="G26" t="s">
        <v>51</v>
      </c>
      <c r="H26" t="s">
        <v>980</v>
      </c>
    </row>
    <row r="27" spans="1:8" x14ac:dyDescent="0.25">
      <c r="A27" t="s">
        <v>955</v>
      </c>
      <c r="B27" t="s">
        <v>859</v>
      </c>
      <c r="C27" t="s">
        <v>870</v>
      </c>
      <c r="D27" t="s">
        <v>6</v>
      </c>
      <c r="E27" t="s">
        <v>953</v>
      </c>
      <c r="F27" t="s">
        <v>117</v>
      </c>
      <c r="G27" t="s">
        <v>51</v>
      </c>
      <c r="H27" t="s">
        <v>981</v>
      </c>
    </row>
    <row r="28" spans="1:8" x14ac:dyDescent="0.25">
      <c r="A28" t="s">
        <v>955</v>
      </c>
      <c r="B28" t="s">
        <v>859</v>
      </c>
      <c r="C28" t="s">
        <v>871</v>
      </c>
      <c r="D28" t="s">
        <v>6</v>
      </c>
      <c r="E28" t="s">
        <v>953</v>
      </c>
      <c r="F28" t="s">
        <v>118</v>
      </c>
      <c r="G28" t="s">
        <v>51</v>
      </c>
      <c r="H28" t="s">
        <v>982</v>
      </c>
    </row>
    <row r="29" spans="1:8" x14ac:dyDescent="0.25">
      <c r="A29" t="s">
        <v>955</v>
      </c>
      <c r="B29" t="s">
        <v>101</v>
      </c>
      <c r="C29" t="s">
        <v>534</v>
      </c>
      <c r="D29" t="s">
        <v>52</v>
      </c>
      <c r="E29" t="s">
        <v>953</v>
      </c>
      <c r="F29" t="s">
        <v>119</v>
      </c>
      <c r="G29" t="s">
        <v>51</v>
      </c>
      <c r="H29" t="s">
        <v>983</v>
      </c>
    </row>
    <row r="30" spans="1:8" x14ac:dyDescent="0.25">
      <c r="A30" t="s">
        <v>955</v>
      </c>
      <c r="B30" t="s">
        <v>94</v>
      </c>
      <c r="C30" t="s">
        <v>165</v>
      </c>
      <c r="D30" t="s">
        <v>52</v>
      </c>
      <c r="E30" t="s">
        <v>953</v>
      </c>
      <c r="F30" t="s">
        <v>120</v>
      </c>
      <c r="G30" t="s">
        <v>51</v>
      </c>
      <c r="H30" t="s">
        <v>984</v>
      </c>
    </row>
    <row r="31" spans="1:8" x14ac:dyDescent="0.25">
      <c r="A31" t="s">
        <v>955</v>
      </c>
      <c r="B31" t="s">
        <v>102</v>
      </c>
      <c r="C31" t="s">
        <v>671</v>
      </c>
      <c r="D31" t="s">
        <v>52</v>
      </c>
      <c r="E31" t="s">
        <v>953</v>
      </c>
      <c r="F31" t="s">
        <v>121</v>
      </c>
      <c r="G31" t="s">
        <v>51</v>
      </c>
      <c r="H31" t="s">
        <v>985</v>
      </c>
    </row>
    <row r="32" spans="1:8" x14ac:dyDescent="0.25">
      <c r="A32" t="s">
        <v>955</v>
      </c>
      <c r="B32" t="s">
        <v>104</v>
      </c>
      <c r="C32" t="s">
        <v>754</v>
      </c>
      <c r="D32" t="s">
        <v>52</v>
      </c>
      <c r="E32" t="s">
        <v>953</v>
      </c>
      <c r="F32" t="s">
        <v>122</v>
      </c>
      <c r="G32" t="s">
        <v>51</v>
      </c>
      <c r="H32" t="s">
        <v>986</v>
      </c>
    </row>
    <row r="33" spans="1:8" x14ac:dyDescent="0.25">
      <c r="A33" t="s">
        <v>955</v>
      </c>
      <c r="B33" t="s">
        <v>859</v>
      </c>
      <c r="C33" t="s">
        <v>872</v>
      </c>
      <c r="D33" t="s">
        <v>6</v>
      </c>
      <c r="E33" t="s">
        <v>953</v>
      </c>
      <c r="F33" t="s">
        <v>123</v>
      </c>
      <c r="G33" t="s">
        <v>51</v>
      </c>
      <c r="H33" t="s">
        <v>987</v>
      </c>
    </row>
    <row r="34" spans="1:8" x14ac:dyDescent="0.25">
      <c r="A34" t="s">
        <v>955</v>
      </c>
      <c r="B34" t="s">
        <v>102</v>
      </c>
      <c r="C34" t="s">
        <v>372</v>
      </c>
      <c r="D34" t="s">
        <v>52</v>
      </c>
      <c r="E34" t="s">
        <v>953</v>
      </c>
      <c r="F34" t="s">
        <v>124</v>
      </c>
      <c r="G34" t="s">
        <v>51</v>
      </c>
      <c r="H34" t="s">
        <v>988</v>
      </c>
    </row>
    <row r="35" spans="1:8" x14ac:dyDescent="0.25">
      <c r="A35" t="s">
        <v>955</v>
      </c>
      <c r="B35" t="s">
        <v>102</v>
      </c>
      <c r="C35" t="s">
        <v>372</v>
      </c>
      <c r="D35" t="s">
        <v>52</v>
      </c>
      <c r="E35" t="s">
        <v>953</v>
      </c>
      <c r="F35" t="s">
        <v>125</v>
      </c>
      <c r="G35" t="s">
        <v>51</v>
      </c>
      <c r="H35" t="s">
        <v>989</v>
      </c>
    </row>
    <row r="36" spans="1:8" x14ac:dyDescent="0.25">
      <c r="A36" t="s">
        <v>955</v>
      </c>
      <c r="B36" t="s">
        <v>102</v>
      </c>
      <c r="C36" t="s">
        <v>372</v>
      </c>
      <c r="D36" t="s">
        <v>52</v>
      </c>
      <c r="E36" t="s">
        <v>953</v>
      </c>
      <c r="F36" t="s">
        <v>126</v>
      </c>
      <c r="G36" t="s">
        <v>51</v>
      </c>
      <c r="H36" t="s">
        <v>990</v>
      </c>
    </row>
    <row r="37" spans="1:8" x14ac:dyDescent="0.25">
      <c r="A37" t="s">
        <v>955</v>
      </c>
      <c r="B37" t="s">
        <v>102</v>
      </c>
      <c r="C37" t="s">
        <v>373</v>
      </c>
      <c r="D37" t="s">
        <v>52</v>
      </c>
      <c r="E37" t="s">
        <v>953</v>
      </c>
      <c r="F37" t="s">
        <v>127</v>
      </c>
      <c r="G37" t="s">
        <v>51</v>
      </c>
      <c r="H37" t="s">
        <v>991</v>
      </c>
    </row>
    <row r="38" spans="1:8" x14ac:dyDescent="0.25">
      <c r="A38" t="s">
        <v>955</v>
      </c>
      <c r="B38" t="s">
        <v>96</v>
      </c>
      <c r="C38" t="s">
        <v>317</v>
      </c>
      <c r="D38" t="s">
        <v>52</v>
      </c>
      <c r="E38" t="s">
        <v>953</v>
      </c>
      <c r="F38" t="s">
        <v>128</v>
      </c>
      <c r="G38" t="s">
        <v>51</v>
      </c>
      <c r="H38" t="s">
        <v>992</v>
      </c>
    </row>
    <row r="39" spans="1:8" x14ac:dyDescent="0.25">
      <c r="A39" t="s">
        <v>955</v>
      </c>
      <c r="B39" t="s">
        <v>101</v>
      </c>
      <c r="C39" t="s">
        <v>538</v>
      </c>
      <c r="D39" t="s">
        <v>52</v>
      </c>
      <c r="E39" t="s">
        <v>953</v>
      </c>
      <c r="F39" t="s">
        <v>129</v>
      </c>
      <c r="G39" t="s">
        <v>51</v>
      </c>
      <c r="H39" t="s">
        <v>993</v>
      </c>
    </row>
    <row r="40" spans="1:8" x14ac:dyDescent="0.25">
      <c r="A40" t="s">
        <v>955</v>
      </c>
      <c r="B40" t="s">
        <v>98</v>
      </c>
      <c r="C40" t="s">
        <v>3</v>
      </c>
      <c r="D40" t="s">
        <v>52</v>
      </c>
      <c r="E40" t="s">
        <v>953</v>
      </c>
      <c r="F40" t="s">
        <v>130</v>
      </c>
      <c r="G40" t="s">
        <v>51</v>
      </c>
      <c r="H40" t="s">
        <v>994</v>
      </c>
    </row>
    <row r="41" spans="1:8" x14ac:dyDescent="0.25">
      <c r="A41" t="s">
        <v>955</v>
      </c>
      <c r="B41" t="s">
        <v>859</v>
      </c>
      <c r="C41" t="s">
        <v>873</v>
      </c>
      <c r="D41" t="s">
        <v>6</v>
      </c>
      <c r="E41" t="s">
        <v>953</v>
      </c>
      <c r="F41" t="s">
        <v>131</v>
      </c>
      <c r="G41" t="s">
        <v>51</v>
      </c>
      <c r="H41" t="s">
        <v>995</v>
      </c>
    </row>
    <row r="42" spans="1:8" x14ac:dyDescent="0.25">
      <c r="A42" t="s">
        <v>955</v>
      </c>
      <c r="B42" t="s">
        <v>859</v>
      </c>
      <c r="C42" t="s">
        <v>874</v>
      </c>
      <c r="D42" t="s">
        <v>6</v>
      </c>
      <c r="E42" t="s">
        <v>953</v>
      </c>
      <c r="F42" t="s">
        <v>132</v>
      </c>
      <c r="G42" t="s">
        <v>51</v>
      </c>
      <c r="H42" t="s">
        <v>996</v>
      </c>
    </row>
    <row r="43" spans="1:8" x14ac:dyDescent="0.25">
      <c r="A43" t="s">
        <v>955</v>
      </c>
      <c r="B43" t="s">
        <v>860</v>
      </c>
      <c r="C43" t="s">
        <v>875</v>
      </c>
      <c r="D43" t="s">
        <v>66</v>
      </c>
      <c r="E43" t="s">
        <v>953</v>
      </c>
      <c r="F43" t="s">
        <v>133</v>
      </c>
      <c r="G43" t="s">
        <v>51</v>
      </c>
      <c r="H43" t="s">
        <v>997</v>
      </c>
    </row>
    <row r="44" spans="1:8" x14ac:dyDescent="0.25">
      <c r="A44" t="s">
        <v>955</v>
      </c>
      <c r="B44" t="s">
        <v>859</v>
      </c>
      <c r="C44" t="s">
        <v>876</v>
      </c>
      <c r="D44" t="s">
        <v>6</v>
      </c>
      <c r="E44" t="s">
        <v>953</v>
      </c>
      <c r="F44" t="s">
        <v>134</v>
      </c>
      <c r="G44" t="s">
        <v>51</v>
      </c>
      <c r="H44" t="s">
        <v>998</v>
      </c>
    </row>
    <row r="45" spans="1:8" x14ac:dyDescent="0.25">
      <c r="A45" t="s">
        <v>955</v>
      </c>
      <c r="B45" t="s">
        <v>859</v>
      </c>
      <c r="C45" t="s">
        <v>877</v>
      </c>
      <c r="D45" t="s">
        <v>6</v>
      </c>
      <c r="E45" t="s">
        <v>953</v>
      </c>
      <c r="F45" t="s">
        <v>135</v>
      </c>
      <c r="G45" t="s">
        <v>51</v>
      </c>
      <c r="H45" t="s">
        <v>999</v>
      </c>
    </row>
    <row r="46" spans="1:8" x14ac:dyDescent="0.25">
      <c r="A46" t="s">
        <v>955</v>
      </c>
      <c r="B46" t="s">
        <v>859</v>
      </c>
      <c r="C46" t="s">
        <v>878</v>
      </c>
      <c r="D46" t="s">
        <v>6</v>
      </c>
      <c r="E46" t="s">
        <v>953</v>
      </c>
      <c r="F46" t="s">
        <v>136</v>
      </c>
      <c r="G46" t="s">
        <v>51</v>
      </c>
      <c r="H46" t="s">
        <v>1000</v>
      </c>
    </row>
    <row r="47" spans="1:8" x14ac:dyDescent="0.25">
      <c r="A47" t="s">
        <v>955</v>
      </c>
      <c r="B47" t="s">
        <v>859</v>
      </c>
      <c r="C47" t="s">
        <v>877</v>
      </c>
      <c r="D47" t="s">
        <v>6</v>
      </c>
      <c r="E47" t="s">
        <v>954</v>
      </c>
      <c r="F47" t="s">
        <v>135</v>
      </c>
      <c r="G47" t="s">
        <v>51</v>
      </c>
      <c r="H47" t="s">
        <v>999</v>
      </c>
    </row>
    <row r="48" spans="1:8" x14ac:dyDescent="0.25">
      <c r="A48" t="s">
        <v>955</v>
      </c>
      <c r="B48" t="s">
        <v>859</v>
      </c>
      <c r="C48" t="s">
        <v>876</v>
      </c>
      <c r="D48" t="s">
        <v>6</v>
      </c>
      <c r="E48" t="s">
        <v>954</v>
      </c>
      <c r="F48" t="s">
        <v>134</v>
      </c>
      <c r="G48" t="s">
        <v>51</v>
      </c>
      <c r="H48" t="s">
        <v>998</v>
      </c>
    </row>
    <row r="49" spans="1:8" x14ac:dyDescent="0.25">
      <c r="A49" t="s">
        <v>955</v>
      </c>
      <c r="B49" t="s">
        <v>859</v>
      </c>
      <c r="C49" t="s">
        <v>875</v>
      </c>
      <c r="D49" t="s">
        <v>6</v>
      </c>
      <c r="E49" t="s">
        <v>954</v>
      </c>
      <c r="F49" t="s">
        <v>133</v>
      </c>
      <c r="G49" t="s">
        <v>51</v>
      </c>
      <c r="H49" t="s">
        <v>1001</v>
      </c>
    </row>
    <row r="50" spans="1:8" x14ac:dyDescent="0.25">
      <c r="A50" t="s">
        <v>955</v>
      </c>
      <c r="B50" t="s">
        <v>103</v>
      </c>
      <c r="C50" t="s">
        <v>376</v>
      </c>
      <c r="D50" t="s">
        <v>52</v>
      </c>
      <c r="E50" t="s">
        <v>954</v>
      </c>
      <c r="F50" t="s">
        <v>145</v>
      </c>
      <c r="G50" t="s">
        <v>51</v>
      </c>
      <c r="H50" t="s">
        <v>969</v>
      </c>
    </row>
    <row r="51" spans="1:8" x14ac:dyDescent="0.25">
      <c r="A51" t="s">
        <v>955</v>
      </c>
      <c r="B51" t="s">
        <v>102</v>
      </c>
      <c r="C51" t="s">
        <v>321</v>
      </c>
      <c r="D51" t="s">
        <v>52</v>
      </c>
      <c r="E51" t="s">
        <v>954</v>
      </c>
      <c r="F51" t="s">
        <v>137</v>
      </c>
      <c r="G51" t="s">
        <v>51</v>
      </c>
      <c r="H51" t="s">
        <v>961</v>
      </c>
    </row>
    <row r="52" spans="1:8" x14ac:dyDescent="0.25">
      <c r="A52" t="s">
        <v>955</v>
      </c>
      <c r="B52" t="s">
        <v>95</v>
      </c>
      <c r="C52" t="s">
        <v>3</v>
      </c>
      <c r="D52" t="s">
        <v>52</v>
      </c>
      <c r="E52" t="s">
        <v>954</v>
      </c>
      <c r="F52" t="s">
        <v>138</v>
      </c>
      <c r="G52" t="s">
        <v>51</v>
      </c>
      <c r="H52" t="s">
        <v>962</v>
      </c>
    </row>
    <row r="53" spans="1:8" x14ac:dyDescent="0.25">
      <c r="A53" t="s">
        <v>955</v>
      </c>
      <c r="B53" t="s">
        <v>100</v>
      </c>
      <c r="C53" t="s">
        <v>513</v>
      </c>
      <c r="D53" t="s">
        <v>52</v>
      </c>
      <c r="E53" t="s">
        <v>954</v>
      </c>
      <c r="F53" t="s">
        <v>140</v>
      </c>
      <c r="G53" t="s">
        <v>51</v>
      </c>
      <c r="H53" t="s">
        <v>964</v>
      </c>
    </row>
    <row r="54" spans="1:8" x14ac:dyDescent="0.25">
      <c r="A54" t="s">
        <v>955</v>
      </c>
      <c r="B54" t="s">
        <v>103</v>
      </c>
      <c r="C54" t="s">
        <v>156</v>
      </c>
      <c r="D54" t="s">
        <v>52</v>
      </c>
      <c r="E54" t="s">
        <v>954</v>
      </c>
      <c r="F54" t="s">
        <v>142</v>
      </c>
      <c r="G54" t="s">
        <v>51</v>
      </c>
      <c r="H54" t="s">
        <v>966</v>
      </c>
    </row>
    <row r="55" spans="1:8" x14ac:dyDescent="0.25">
      <c r="A55" t="s">
        <v>955</v>
      </c>
      <c r="B55" t="s">
        <v>103</v>
      </c>
      <c r="C55" t="s">
        <v>154</v>
      </c>
      <c r="D55" t="s">
        <v>52</v>
      </c>
      <c r="E55" t="s">
        <v>954</v>
      </c>
      <c r="F55" t="s">
        <v>143</v>
      </c>
      <c r="G55" t="s">
        <v>51</v>
      </c>
      <c r="H55" t="s">
        <v>967</v>
      </c>
    </row>
    <row r="56" spans="1:8" x14ac:dyDescent="0.25">
      <c r="A56" t="s">
        <v>955</v>
      </c>
      <c r="B56" t="s">
        <v>96</v>
      </c>
      <c r="C56" t="s">
        <v>317</v>
      </c>
      <c r="D56" t="s">
        <v>52</v>
      </c>
      <c r="E56" t="s">
        <v>954</v>
      </c>
      <c r="F56" t="s">
        <v>128</v>
      </c>
      <c r="G56" t="s">
        <v>51</v>
      </c>
      <c r="H56" t="s">
        <v>992</v>
      </c>
    </row>
    <row r="57" spans="1:8" x14ac:dyDescent="0.25">
      <c r="A57" t="s">
        <v>955</v>
      </c>
      <c r="B57" t="s">
        <v>93</v>
      </c>
      <c r="C57" t="s">
        <v>3</v>
      </c>
      <c r="D57" t="s">
        <v>52</v>
      </c>
      <c r="E57" t="s">
        <v>954</v>
      </c>
      <c r="F57" t="s">
        <v>139</v>
      </c>
      <c r="G57" t="s">
        <v>51</v>
      </c>
      <c r="H57" t="s">
        <v>963</v>
      </c>
    </row>
    <row r="58" spans="1:8" x14ac:dyDescent="0.25">
      <c r="A58" t="s">
        <v>955</v>
      </c>
      <c r="B58" t="s">
        <v>859</v>
      </c>
      <c r="C58" t="s">
        <v>147</v>
      </c>
      <c r="D58" t="s">
        <v>6</v>
      </c>
      <c r="E58" t="s">
        <v>954</v>
      </c>
      <c r="F58" t="s">
        <v>147</v>
      </c>
      <c r="G58" t="s">
        <v>51</v>
      </c>
      <c r="H58" t="s">
        <v>971</v>
      </c>
    </row>
    <row r="59" spans="1:8" x14ac:dyDescent="0.25">
      <c r="A59" t="s">
        <v>955</v>
      </c>
      <c r="B59" t="s">
        <v>859</v>
      </c>
      <c r="C59" t="s">
        <v>879</v>
      </c>
      <c r="D59" t="s">
        <v>6</v>
      </c>
      <c r="E59" t="s">
        <v>954</v>
      </c>
      <c r="F59" t="s">
        <v>148</v>
      </c>
      <c r="G59" t="s">
        <v>51</v>
      </c>
      <c r="H59" t="s">
        <v>972</v>
      </c>
    </row>
    <row r="60" spans="1:8" x14ac:dyDescent="0.25">
      <c r="A60" t="s">
        <v>955</v>
      </c>
      <c r="B60" t="s">
        <v>859</v>
      </c>
      <c r="C60" t="s">
        <v>880</v>
      </c>
      <c r="D60" t="s">
        <v>6</v>
      </c>
      <c r="E60" t="s">
        <v>954</v>
      </c>
      <c r="F60" t="s">
        <v>151</v>
      </c>
      <c r="G60" t="s">
        <v>51</v>
      </c>
      <c r="H60" t="s">
        <v>974</v>
      </c>
    </row>
    <row r="61" spans="1:8" x14ac:dyDescent="0.25">
      <c r="A61" t="s">
        <v>955</v>
      </c>
      <c r="B61" t="s">
        <v>100</v>
      </c>
      <c r="C61" t="s">
        <v>513</v>
      </c>
      <c r="D61" t="s">
        <v>52</v>
      </c>
      <c r="E61" t="s">
        <v>954</v>
      </c>
      <c r="F61" t="s">
        <v>141</v>
      </c>
      <c r="G61" t="s">
        <v>51</v>
      </c>
      <c r="H61" t="s">
        <v>965</v>
      </c>
    </row>
    <row r="62" spans="1:8" x14ac:dyDescent="0.25">
      <c r="A62" t="s">
        <v>955</v>
      </c>
      <c r="B62" t="s">
        <v>859</v>
      </c>
      <c r="C62" t="s">
        <v>873</v>
      </c>
      <c r="D62" t="s">
        <v>6</v>
      </c>
      <c r="E62" t="s">
        <v>954</v>
      </c>
      <c r="F62" t="s">
        <v>131</v>
      </c>
      <c r="G62" t="s">
        <v>51</v>
      </c>
      <c r="H62" t="s">
        <v>995</v>
      </c>
    </row>
    <row r="63" spans="1:8" x14ac:dyDescent="0.25">
      <c r="A63" t="s">
        <v>955</v>
      </c>
      <c r="B63" t="s">
        <v>859</v>
      </c>
      <c r="C63" t="s">
        <v>874</v>
      </c>
      <c r="D63" t="s">
        <v>6</v>
      </c>
      <c r="E63" t="s">
        <v>954</v>
      </c>
      <c r="F63" t="s">
        <v>132</v>
      </c>
      <c r="G63" t="s">
        <v>51</v>
      </c>
      <c r="H63" t="s">
        <v>996</v>
      </c>
    </row>
    <row r="64" spans="1:8" x14ac:dyDescent="0.25">
      <c r="A64" t="s">
        <v>955</v>
      </c>
      <c r="B64" t="s">
        <v>103</v>
      </c>
      <c r="C64" t="s">
        <v>422</v>
      </c>
      <c r="D64" t="s">
        <v>52</v>
      </c>
      <c r="E64" t="s">
        <v>954</v>
      </c>
      <c r="F64" t="s">
        <v>144</v>
      </c>
      <c r="G64" t="s">
        <v>51</v>
      </c>
      <c r="H64" t="s">
        <v>968</v>
      </c>
    </row>
    <row r="65" spans="1:8" x14ac:dyDescent="0.25">
      <c r="A65" t="s">
        <v>955</v>
      </c>
      <c r="B65" t="s">
        <v>98</v>
      </c>
      <c r="C65" t="s">
        <v>3</v>
      </c>
      <c r="D65" t="s">
        <v>52</v>
      </c>
      <c r="E65" t="s">
        <v>954</v>
      </c>
      <c r="F65" t="s">
        <v>130</v>
      </c>
      <c r="G65" t="s">
        <v>51</v>
      </c>
      <c r="H65" t="s">
        <v>994</v>
      </c>
    </row>
    <row r="66" spans="1:8" x14ac:dyDescent="0.25">
      <c r="A66" t="s">
        <v>955</v>
      </c>
      <c r="B66" t="s">
        <v>102</v>
      </c>
      <c r="C66" t="s">
        <v>373</v>
      </c>
      <c r="D66" t="s">
        <v>52</v>
      </c>
      <c r="E66" t="s">
        <v>954</v>
      </c>
      <c r="F66" t="s">
        <v>127</v>
      </c>
      <c r="G66" t="s">
        <v>51</v>
      </c>
      <c r="H66" t="s">
        <v>991</v>
      </c>
    </row>
    <row r="67" spans="1:8" x14ac:dyDescent="0.25">
      <c r="A67" t="s">
        <v>955</v>
      </c>
      <c r="B67" t="s">
        <v>102</v>
      </c>
      <c r="C67" t="s">
        <v>372</v>
      </c>
      <c r="D67" t="s">
        <v>52</v>
      </c>
      <c r="E67" t="s">
        <v>954</v>
      </c>
      <c r="F67" t="s">
        <v>126</v>
      </c>
      <c r="G67" t="s">
        <v>51</v>
      </c>
      <c r="H67" t="s">
        <v>990</v>
      </c>
    </row>
    <row r="68" spans="1:8" x14ac:dyDescent="0.25">
      <c r="A68" t="s">
        <v>955</v>
      </c>
      <c r="B68" t="s">
        <v>102</v>
      </c>
      <c r="C68" t="s">
        <v>372</v>
      </c>
      <c r="D68" t="s">
        <v>52</v>
      </c>
      <c r="E68" t="s">
        <v>954</v>
      </c>
      <c r="F68" t="s">
        <v>125</v>
      </c>
      <c r="G68" t="s">
        <v>51</v>
      </c>
      <c r="H68" t="s">
        <v>989</v>
      </c>
    </row>
    <row r="69" spans="1:8" x14ac:dyDescent="0.25">
      <c r="A69" t="s">
        <v>955</v>
      </c>
      <c r="B69" t="s">
        <v>102</v>
      </c>
      <c r="C69" t="s">
        <v>372</v>
      </c>
      <c r="D69" t="s">
        <v>52</v>
      </c>
      <c r="E69" t="s">
        <v>954</v>
      </c>
      <c r="F69" t="s">
        <v>124</v>
      </c>
      <c r="G69" t="s">
        <v>51</v>
      </c>
      <c r="H69" t="s">
        <v>988</v>
      </c>
    </row>
    <row r="70" spans="1:8" x14ac:dyDescent="0.25">
      <c r="A70" t="s">
        <v>955</v>
      </c>
      <c r="B70" t="s">
        <v>859</v>
      </c>
      <c r="C70" t="s">
        <v>872</v>
      </c>
      <c r="D70" t="s">
        <v>6</v>
      </c>
      <c r="E70" t="s">
        <v>954</v>
      </c>
      <c r="F70" t="s">
        <v>123</v>
      </c>
      <c r="G70" t="s">
        <v>51</v>
      </c>
      <c r="H70" t="s">
        <v>987</v>
      </c>
    </row>
    <row r="71" spans="1:8" x14ac:dyDescent="0.25">
      <c r="A71" t="s">
        <v>955</v>
      </c>
      <c r="B71" t="s">
        <v>104</v>
      </c>
      <c r="C71" t="s">
        <v>754</v>
      </c>
      <c r="D71" t="s">
        <v>52</v>
      </c>
      <c r="E71" t="s">
        <v>954</v>
      </c>
      <c r="F71" t="s">
        <v>122</v>
      </c>
      <c r="G71" t="s">
        <v>51</v>
      </c>
      <c r="H71" t="s">
        <v>986</v>
      </c>
    </row>
    <row r="72" spans="1:8" x14ac:dyDescent="0.25">
      <c r="A72" t="s">
        <v>955</v>
      </c>
      <c r="B72" t="s">
        <v>102</v>
      </c>
      <c r="C72" t="s">
        <v>671</v>
      </c>
      <c r="D72" t="s">
        <v>52</v>
      </c>
      <c r="E72" t="s">
        <v>954</v>
      </c>
      <c r="F72" t="s">
        <v>121</v>
      </c>
      <c r="G72" t="s">
        <v>51</v>
      </c>
      <c r="H72" t="s">
        <v>985</v>
      </c>
    </row>
    <row r="73" spans="1:8" x14ac:dyDescent="0.25">
      <c r="A73" t="s">
        <v>955</v>
      </c>
      <c r="B73" t="s">
        <v>94</v>
      </c>
      <c r="C73" t="s">
        <v>165</v>
      </c>
      <c r="D73" t="s">
        <v>52</v>
      </c>
      <c r="E73" t="s">
        <v>954</v>
      </c>
      <c r="F73" t="s">
        <v>120</v>
      </c>
      <c r="G73" t="s">
        <v>51</v>
      </c>
      <c r="H73" t="s">
        <v>984</v>
      </c>
    </row>
    <row r="74" spans="1:8" x14ac:dyDescent="0.25">
      <c r="A74" t="s">
        <v>955</v>
      </c>
      <c r="B74" t="s">
        <v>101</v>
      </c>
      <c r="C74" t="s">
        <v>534</v>
      </c>
      <c r="D74" t="s">
        <v>52</v>
      </c>
      <c r="E74" t="s">
        <v>954</v>
      </c>
      <c r="F74" t="s">
        <v>119</v>
      </c>
      <c r="G74" t="s">
        <v>51</v>
      </c>
      <c r="H74" t="s">
        <v>983</v>
      </c>
    </row>
    <row r="75" spans="1:8" x14ac:dyDescent="0.25">
      <c r="A75" t="s">
        <v>955</v>
      </c>
      <c r="B75" t="s">
        <v>859</v>
      </c>
      <c r="C75" t="s">
        <v>871</v>
      </c>
      <c r="D75" t="s">
        <v>6</v>
      </c>
      <c r="E75" t="s">
        <v>954</v>
      </c>
      <c r="F75" t="s">
        <v>118</v>
      </c>
      <c r="G75" t="s">
        <v>51</v>
      </c>
      <c r="H75" t="s">
        <v>982</v>
      </c>
    </row>
    <row r="76" spans="1:8" x14ac:dyDescent="0.25">
      <c r="A76" t="s">
        <v>955</v>
      </c>
      <c r="B76" t="s">
        <v>859</v>
      </c>
      <c r="C76" t="s">
        <v>870</v>
      </c>
      <c r="D76" t="s">
        <v>6</v>
      </c>
      <c r="E76" t="s">
        <v>954</v>
      </c>
      <c r="F76" t="s">
        <v>117</v>
      </c>
      <c r="G76" t="s">
        <v>51</v>
      </c>
      <c r="H76" t="s">
        <v>981</v>
      </c>
    </row>
    <row r="77" spans="1:8" x14ac:dyDescent="0.25">
      <c r="A77" t="s">
        <v>955</v>
      </c>
      <c r="B77" t="s">
        <v>92</v>
      </c>
      <c r="C77" t="s">
        <v>3</v>
      </c>
      <c r="D77" t="s">
        <v>52</v>
      </c>
      <c r="E77" t="s">
        <v>954</v>
      </c>
      <c r="F77" t="s">
        <v>116</v>
      </c>
      <c r="G77" t="s">
        <v>51</v>
      </c>
      <c r="H77" t="s">
        <v>980</v>
      </c>
    </row>
    <row r="78" spans="1:8" x14ac:dyDescent="0.25">
      <c r="A78" t="s">
        <v>955</v>
      </c>
      <c r="B78" t="s">
        <v>102</v>
      </c>
      <c r="C78" t="s">
        <v>673</v>
      </c>
      <c r="D78" t="s">
        <v>52</v>
      </c>
      <c r="E78" t="s">
        <v>954</v>
      </c>
      <c r="F78" t="s">
        <v>115</v>
      </c>
      <c r="G78" t="s">
        <v>51</v>
      </c>
      <c r="H78" t="s">
        <v>979</v>
      </c>
    </row>
    <row r="79" spans="1:8" x14ac:dyDescent="0.25">
      <c r="A79" t="s">
        <v>955</v>
      </c>
      <c r="B79" t="s">
        <v>101</v>
      </c>
      <c r="C79" t="s">
        <v>538</v>
      </c>
      <c r="D79" t="s">
        <v>52</v>
      </c>
      <c r="E79" t="s">
        <v>954</v>
      </c>
      <c r="F79" t="s">
        <v>129</v>
      </c>
      <c r="G79" t="s">
        <v>51</v>
      </c>
      <c r="H79" t="s">
        <v>993</v>
      </c>
    </row>
    <row r="80" spans="1:8" x14ac:dyDescent="0.25">
      <c r="A80" t="s">
        <v>955</v>
      </c>
      <c r="B80" t="s">
        <v>859</v>
      </c>
      <c r="C80" t="s">
        <v>114</v>
      </c>
      <c r="D80" t="s">
        <v>6</v>
      </c>
      <c r="E80" t="s">
        <v>954</v>
      </c>
      <c r="F80" t="s">
        <v>114</v>
      </c>
      <c r="G80" t="s">
        <v>51</v>
      </c>
      <c r="H80" t="s">
        <v>978</v>
      </c>
    </row>
    <row r="81" spans="1:8" x14ac:dyDescent="0.25">
      <c r="A81" t="s">
        <v>955</v>
      </c>
      <c r="B81" t="s">
        <v>859</v>
      </c>
      <c r="C81" t="s">
        <v>113</v>
      </c>
      <c r="D81" t="s">
        <v>6</v>
      </c>
      <c r="E81" t="s">
        <v>954</v>
      </c>
      <c r="F81" t="s">
        <v>113</v>
      </c>
      <c r="G81" t="s">
        <v>51</v>
      </c>
      <c r="H81" t="s">
        <v>977</v>
      </c>
    </row>
    <row r="82" spans="1:8" x14ac:dyDescent="0.25">
      <c r="A82" t="s">
        <v>955</v>
      </c>
      <c r="B82" t="s">
        <v>855</v>
      </c>
      <c r="C82" t="s">
        <v>112</v>
      </c>
      <c r="D82" t="s">
        <v>67</v>
      </c>
      <c r="E82" t="s">
        <v>954</v>
      </c>
      <c r="F82" t="s">
        <v>112</v>
      </c>
      <c r="G82" t="s">
        <v>51</v>
      </c>
      <c r="H82" t="s">
        <v>1002</v>
      </c>
    </row>
    <row r="83" spans="1:8" x14ac:dyDescent="0.25">
      <c r="A83" t="s">
        <v>955</v>
      </c>
      <c r="B83" t="s">
        <v>859</v>
      </c>
      <c r="C83" t="s">
        <v>146</v>
      </c>
      <c r="D83" t="s">
        <v>6</v>
      </c>
      <c r="E83" t="s">
        <v>954</v>
      </c>
      <c r="F83" t="s">
        <v>146</v>
      </c>
      <c r="G83" t="s">
        <v>51</v>
      </c>
      <c r="H83" t="s">
        <v>970</v>
      </c>
    </row>
    <row r="84" spans="1:8" x14ac:dyDescent="0.25">
      <c r="A84" t="s">
        <v>955</v>
      </c>
      <c r="B84" t="s">
        <v>859</v>
      </c>
      <c r="C84" t="s">
        <v>866</v>
      </c>
      <c r="D84" t="s">
        <v>6</v>
      </c>
      <c r="E84" t="s">
        <v>954</v>
      </c>
      <c r="F84" t="s">
        <v>152</v>
      </c>
      <c r="G84" t="s">
        <v>51</v>
      </c>
      <c r="H84" t="s">
        <v>976</v>
      </c>
    </row>
    <row r="85" spans="1:8" x14ac:dyDescent="0.25">
      <c r="A85" t="s">
        <v>955</v>
      </c>
      <c r="B85" t="s">
        <v>859</v>
      </c>
      <c r="C85" t="s">
        <v>878</v>
      </c>
      <c r="D85" t="s">
        <v>6</v>
      </c>
      <c r="E85" t="s">
        <v>954</v>
      </c>
      <c r="F85" t="s">
        <v>136</v>
      </c>
      <c r="G85" t="s">
        <v>51</v>
      </c>
      <c r="H85" t="s">
        <v>1000</v>
      </c>
    </row>
    <row r="86" spans="1:8" x14ac:dyDescent="0.25">
      <c r="A86" t="s">
        <v>955</v>
      </c>
      <c r="B86" t="s">
        <v>952</v>
      </c>
      <c r="C86" t="s">
        <v>326</v>
      </c>
      <c r="D86" t="s">
        <v>52</v>
      </c>
      <c r="E86" t="s">
        <v>828</v>
      </c>
      <c r="F86" t="s">
        <v>833</v>
      </c>
      <c r="G86" t="s">
        <v>51</v>
      </c>
      <c r="H86" t="s">
        <v>1003</v>
      </c>
    </row>
    <row r="87" spans="1:8" x14ac:dyDescent="0.25">
      <c r="A87" t="s">
        <v>955</v>
      </c>
      <c r="B87" t="s">
        <v>849</v>
      </c>
      <c r="C87" t="s">
        <v>830</v>
      </c>
      <c r="D87" t="s">
        <v>6</v>
      </c>
      <c r="E87" t="s">
        <v>828</v>
      </c>
      <c r="F87" t="s">
        <v>830</v>
      </c>
      <c r="G87" t="s">
        <v>51</v>
      </c>
      <c r="H87" t="s">
        <v>1004</v>
      </c>
    </row>
    <row r="88" spans="1:8" x14ac:dyDescent="0.25">
      <c r="A88" t="s">
        <v>955</v>
      </c>
      <c r="B88" t="s">
        <v>849</v>
      </c>
      <c r="C88" t="s">
        <v>865</v>
      </c>
      <c r="D88" t="s">
        <v>6</v>
      </c>
      <c r="E88" t="s">
        <v>828</v>
      </c>
      <c r="F88" t="s">
        <v>836</v>
      </c>
      <c r="G88" t="s">
        <v>51</v>
      </c>
      <c r="H88" t="s">
        <v>1005</v>
      </c>
    </row>
    <row r="89" spans="1:8" x14ac:dyDescent="0.25">
      <c r="A89" t="s">
        <v>955</v>
      </c>
      <c r="B89" t="s">
        <v>849</v>
      </c>
      <c r="C89" t="s">
        <v>866</v>
      </c>
      <c r="D89" t="s">
        <v>6</v>
      </c>
      <c r="E89" t="s">
        <v>828</v>
      </c>
      <c r="F89" t="s">
        <v>837</v>
      </c>
      <c r="G89" t="s">
        <v>51</v>
      </c>
      <c r="H89" t="s">
        <v>1006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/>
  </sheetPr>
  <dimension ref="A1:K9"/>
  <sheetViews>
    <sheetView showGridLines="0" workbookViewId="0">
      <selection activeCell="H1852" sqref="H1852"/>
    </sheetView>
  </sheetViews>
  <sheetFormatPr defaultRowHeight="15" x14ac:dyDescent="0.25"/>
  <cols>
    <col min="1" max="1" width="40.7109375" customWidth="1"/>
    <col min="2" max="2" width="18.85546875" customWidth="1"/>
    <col min="3" max="3" width="17.42578125" customWidth="1"/>
    <col min="4" max="4" width="10.7109375" customWidth="1"/>
    <col min="5" max="5" width="13.42578125" customWidth="1"/>
    <col min="6" max="6" width="13" customWidth="1"/>
    <col min="7" max="7" width="18.28515625" customWidth="1"/>
    <col min="8" max="8" width="31" customWidth="1"/>
    <col min="9" max="9" width="15.5703125" customWidth="1"/>
    <col min="10" max="10" width="11.85546875" customWidth="1"/>
  </cols>
  <sheetData>
    <row r="1" spans="1:11" x14ac:dyDescent="0.25">
      <c r="A1" s="7" t="s">
        <v>16</v>
      </c>
      <c r="B1" s="7" t="s">
        <v>0</v>
      </c>
      <c r="C1" s="7" t="s">
        <v>24</v>
      </c>
      <c r="D1" s="7" t="s">
        <v>25</v>
      </c>
      <c r="E1" s="7" t="s">
        <v>22</v>
      </c>
      <c r="F1" s="7" t="s">
        <v>21</v>
      </c>
      <c r="G1" s="7" t="s">
        <v>23</v>
      </c>
      <c r="H1" s="7" t="s">
        <v>10</v>
      </c>
      <c r="I1" s="7" t="s">
        <v>27</v>
      </c>
      <c r="J1" s="7" t="s">
        <v>30</v>
      </c>
      <c r="K1" s="7" t="s">
        <v>33</v>
      </c>
    </row>
    <row r="2" spans="1:11" x14ac:dyDescent="0.25">
      <c r="A2" s="7" t="s">
        <v>90</v>
      </c>
      <c r="B2" s="7" t="s">
        <v>91</v>
      </c>
      <c r="C2" s="7" t="s">
        <v>87</v>
      </c>
      <c r="D2" s="7" t="s">
        <v>12</v>
      </c>
      <c r="E2" s="7" t="s">
        <v>106</v>
      </c>
      <c r="F2" s="7">
        <v>1</v>
      </c>
      <c r="G2" s="7"/>
      <c r="H2" s="7" t="s">
        <v>112</v>
      </c>
      <c r="I2" s="7" t="s">
        <v>29</v>
      </c>
      <c r="J2" s="7" t="s">
        <v>32</v>
      </c>
      <c r="K2" s="7">
        <v>1</v>
      </c>
    </row>
    <row r="3" spans="1:11" x14ac:dyDescent="0.25">
      <c r="A3" t="s">
        <v>90</v>
      </c>
      <c r="B3" t="s">
        <v>91</v>
      </c>
      <c r="C3" t="s">
        <v>87</v>
      </c>
      <c r="D3" t="s">
        <v>12</v>
      </c>
      <c r="E3" t="s">
        <v>106</v>
      </c>
      <c r="F3">
        <v>1</v>
      </c>
      <c r="H3" t="s">
        <v>113</v>
      </c>
      <c r="I3" t="s">
        <v>28</v>
      </c>
      <c r="J3" t="s">
        <v>32</v>
      </c>
      <c r="K3">
        <v>2</v>
      </c>
    </row>
    <row r="4" spans="1:11" x14ac:dyDescent="0.25">
      <c r="A4" t="s">
        <v>90</v>
      </c>
      <c r="B4" t="s">
        <v>91</v>
      </c>
      <c r="C4" t="s">
        <v>87</v>
      </c>
      <c r="D4" t="s">
        <v>12</v>
      </c>
      <c r="E4" t="s">
        <v>106</v>
      </c>
      <c r="F4">
        <v>1</v>
      </c>
      <c r="H4" t="s">
        <v>114</v>
      </c>
      <c r="I4" t="s">
        <v>28</v>
      </c>
      <c r="J4" t="s">
        <v>31</v>
      </c>
      <c r="K4">
        <v>3</v>
      </c>
    </row>
    <row r="5" spans="1:11" x14ac:dyDescent="0.25">
      <c r="A5" t="s">
        <v>90</v>
      </c>
      <c r="B5" t="s">
        <v>91</v>
      </c>
      <c r="C5" t="s">
        <v>87</v>
      </c>
      <c r="D5" t="s">
        <v>12</v>
      </c>
      <c r="E5" t="s">
        <v>106</v>
      </c>
      <c r="F5">
        <v>1</v>
      </c>
      <c r="H5" t="s">
        <v>115</v>
      </c>
      <c r="I5" t="s">
        <v>28</v>
      </c>
      <c r="J5" t="s">
        <v>31</v>
      </c>
      <c r="K5">
        <v>4</v>
      </c>
    </row>
    <row r="6" spans="1:11" x14ac:dyDescent="0.25">
      <c r="A6" t="s">
        <v>90</v>
      </c>
      <c r="B6" t="s">
        <v>91</v>
      </c>
      <c r="C6" t="s">
        <v>87</v>
      </c>
      <c r="D6" t="s">
        <v>12</v>
      </c>
      <c r="E6" t="s">
        <v>106</v>
      </c>
      <c r="F6">
        <v>1</v>
      </c>
      <c r="H6" t="s">
        <v>116</v>
      </c>
      <c r="I6" t="s">
        <v>28</v>
      </c>
      <c r="J6" t="s">
        <v>31</v>
      </c>
      <c r="K6">
        <v>5</v>
      </c>
    </row>
    <row r="7" spans="1:11" x14ac:dyDescent="0.25">
      <c r="A7" t="s">
        <v>90</v>
      </c>
      <c r="B7" t="s">
        <v>91</v>
      </c>
      <c r="C7" t="s">
        <v>87</v>
      </c>
      <c r="D7" t="s">
        <v>12</v>
      </c>
      <c r="E7" t="s">
        <v>106</v>
      </c>
      <c r="F7">
        <v>1</v>
      </c>
      <c r="H7" t="s">
        <v>117</v>
      </c>
      <c r="I7" t="s">
        <v>28</v>
      </c>
      <c r="J7" t="s">
        <v>31</v>
      </c>
      <c r="K7">
        <v>6</v>
      </c>
    </row>
    <row r="8" spans="1:11" x14ac:dyDescent="0.25">
      <c r="A8" t="s">
        <v>90</v>
      </c>
      <c r="B8" t="s">
        <v>91</v>
      </c>
      <c r="C8" t="s">
        <v>87</v>
      </c>
      <c r="D8" t="s">
        <v>12</v>
      </c>
      <c r="E8" t="s">
        <v>106</v>
      </c>
      <c r="F8">
        <v>1</v>
      </c>
      <c r="H8" t="s">
        <v>118</v>
      </c>
      <c r="I8" t="s">
        <v>28</v>
      </c>
      <c r="J8" t="s">
        <v>31</v>
      </c>
      <c r="K8">
        <v>7</v>
      </c>
    </row>
    <row r="9" spans="1:11" x14ac:dyDescent="0.25">
      <c r="A9" t="s">
        <v>90</v>
      </c>
      <c r="B9" t="s">
        <v>91</v>
      </c>
      <c r="C9" t="s">
        <v>87</v>
      </c>
      <c r="D9" t="s">
        <v>12</v>
      </c>
      <c r="E9" t="s">
        <v>106</v>
      </c>
      <c r="F9">
        <v>1</v>
      </c>
      <c r="H9" t="s">
        <v>119</v>
      </c>
      <c r="I9" t="s">
        <v>28</v>
      </c>
      <c r="J9" t="s">
        <v>31</v>
      </c>
      <c r="K9">
        <v>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/>
  </sheetPr>
  <dimension ref="A1:J10"/>
  <sheetViews>
    <sheetView showGridLines="0" workbookViewId="0">
      <selection activeCell="J2769" sqref="J2769"/>
    </sheetView>
  </sheetViews>
  <sheetFormatPr defaultRowHeight="15" x14ac:dyDescent="0.25"/>
  <cols>
    <col min="1" max="1" width="33.140625" customWidth="1"/>
    <col min="3" max="3" width="14.85546875" customWidth="1"/>
    <col min="4" max="4" width="32.85546875" customWidth="1"/>
    <col min="5" max="5" width="26.140625" customWidth="1"/>
    <col min="6" max="6" width="19" customWidth="1"/>
    <col min="7" max="7" width="12.28515625" customWidth="1"/>
    <col min="8" max="8" width="15.85546875" customWidth="1"/>
    <col min="9" max="9" width="10.7109375" customWidth="1"/>
    <col min="10" max="10" width="12" customWidth="1"/>
  </cols>
  <sheetData>
    <row r="1" spans="1:10" x14ac:dyDescent="0.25">
      <c r="A1" t="s">
        <v>16</v>
      </c>
      <c r="B1" t="s">
        <v>3</v>
      </c>
      <c r="C1" t="s">
        <v>2</v>
      </c>
      <c r="D1" t="s">
        <v>20</v>
      </c>
      <c r="E1" t="s">
        <v>35</v>
      </c>
      <c r="F1" t="s">
        <v>36</v>
      </c>
      <c r="G1" t="s">
        <v>34</v>
      </c>
      <c r="H1" t="s">
        <v>11</v>
      </c>
      <c r="I1" t="s">
        <v>26</v>
      </c>
      <c r="J1" t="s">
        <v>30</v>
      </c>
    </row>
    <row r="2" spans="1:10" x14ac:dyDescent="0.25">
      <c r="A2" t="s">
        <v>90</v>
      </c>
      <c r="B2" t="s">
        <v>828</v>
      </c>
      <c r="D2" t="s">
        <v>12</v>
      </c>
      <c r="E2" t="s">
        <v>830</v>
      </c>
      <c r="G2" t="s">
        <v>839</v>
      </c>
      <c r="H2">
        <v>1</v>
      </c>
      <c r="I2" t="s">
        <v>29</v>
      </c>
      <c r="J2" t="s">
        <v>32</v>
      </c>
    </row>
    <row r="3" spans="1:10" x14ac:dyDescent="0.25">
      <c r="A3" t="s">
        <v>90</v>
      </c>
      <c r="B3" t="s">
        <v>828</v>
      </c>
      <c r="D3" t="s">
        <v>12</v>
      </c>
      <c r="E3" t="s">
        <v>831</v>
      </c>
      <c r="G3" t="s">
        <v>839</v>
      </c>
      <c r="H3">
        <v>2</v>
      </c>
      <c r="I3" t="s">
        <v>28</v>
      </c>
      <c r="J3" t="s">
        <v>31</v>
      </c>
    </row>
    <row r="4" spans="1:10" x14ac:dyDescent="0.25">
      <c r="A4" t="s">
        <v>90</v>
      </c>
      <c r="B4" t="s">
        <v>828</v>
      </c>
      <c r="D4" t="s">
        <v>12</v>
      </c>
      <c r="E4" t="s">
        <v>832</v>
      </c>
      <c r="G4" t="s">
        <v>839</v>
      </c>
      <c r="H4">
        <v>3</v>
      </c>
      <c r="I4" t="s">
        <v>28</v>
      </c>
      <c r="J4" t="s">
        <v>31</v>
      </c>
    </row>
    <row r="5" spans="1:10" x14ac:dyDescent="0.25">
      <c r="A5" t="s">
        <v>90</v>
      </c>
      <c r="B5" t="s">
        <v>828</v>
      </c>
      <c r="D5" t="s">
        <v>12</v>
      </c>
      <c r="E5" t="s">
        <v>833</v>
      </c>
      <c r="G5" t="s">
        <v>840</v>
      </c>
      <c r="H5">
        <v>4</v>
      </c>
      <c r="I5" t="s">
        <v>28</v>
      </c>
      <c r="J5" t="s">
        <v>31</v>
      </c>
    </row>
    <row r="6" spans="1:10" x14ac:dyDescent="0.25">
      <c r="A6" t="s">
        <v>90</v>
      </c>
      <c r="B6" t="s">
        <v>828</v>
      </c>
      <c r="D6" t="s">
        <v>12</v>
      </c>
      <c r="E6" t="s">
        <v>834</v>
      </c>
      <c r="G6" t="s">
        <v>841</v>
      </c>
      <c r="H6">
        <v>5</v>
      </c>
      <c r="I6" t="s">
        <v>28</v>
      </c>
      <c r="J6" t="s">
        <v>31</v>
      </c>
    </row>
    <row r="7" spans="1:10" x14ac:dyDescent="0.25">
      <c r="A7" t="s">
        <v>90</v>
      </c>
      <c r="B7" t="s">
        <v>828</v>
      </c>
      <c r="D7" t="s">
        <v>12</v>
      </c>
      <c r="E7" t="s">
        <v>835</v>
      </c>
      <c r="G7" t="s">
        <v>841</v>
      </c>
      <c r="H7">
        <v>6</v>
      </c>
      <c r="I7" t="s">
        <v>28</v>
      </c>
      <c r="J7" t="s">
        <v>31</v>
      </c>
    </row>
    <row r="8" spans="1:10" x14ac:dyDescent="0.25">
      <c r="A8" t="s">
        <v>90</v>
      </c>
      <c r="B8" t="s">
        <v>828</v>
      </c>
      <c r="D8" t="s">
        <v>12</v>
      </c>
      <c r="E8" t="s">
        <v>836</v>
      </c>
      <c r="G8" t="s">
        <v>839</v>
      </c>
      <c r="H8">
        <v>7</v>
      </c>
      <c r="I8" t="s">
        <v>28</v>
      </c>
      <c r="J8" t="s">
        <v>32</v>
      </c>
    </row>
    <row r="9" spans="1:10" x14ac:dyDescent="0.25">
      <c r="A9" t="s">
        <v>90</v>
      </c>
      <c r="B9" t="s">
        <v>828</v>
      </c>
      <c r="D9" t="s">
        <v>12</v>
      </c>
      <c r="E9" t="s">
        <v>837</v>
      </c>
      <c r="G9" t="s">
        <v>841</v>
      </c>
      <c r="H9">
        <v>8</v>
      </c>
      <c r="I9" t="s">
        <v>28</v>
      </c>
      <c r="J9" t="s">
        <v>32</v>
      </c>
    </row>
    <row r="10" spans="1:10" x14ac:dyDescent="0.25">
      <c r="A10" t="s">
        <v>90</v>
      </c>
      <c r="B10" t="s">
        <v>91</v>
      </c>
      <c r="D10" t="s">
        <v>12</v>
      </c>
      <c r="E10" t="s">
        <v>112</v>
      </c>
      <c r="G10" t="s">
        <v>840</v>
      </c>
      <c r="H10">
        <v>1</v>
      </c>
      <c r="I10" t="s">
        <v>29</v>
      </c>
      <c r="J10" t="s">
        <v>32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/>
  </sheetPr>
  <dimension ref="A1:K26"/>
  <sheetViews>
    <sheetView showGridLines="0" workbookViewId="0">
      <selection activeCell="E758" sqref="E758"/>
    </sheetView>
  </sheetViews>
  <sheetFormatPr defaultRowHeight="15" x14ac:dyDescent="0.25"/>
  <cols>
    <col min="1" max="1" width="38" customWidth="1"/>
    <col min="2" max="2" width="29.140625" customWidth="1"/>
    <col min="3" max="3" width="55.28515625" customWidth="1"/>
    <col min="4" max="4" width="31.5703125" customWidth="1"/>
    <col min="5" max="5" width="36.140625" customWidth="1"/>
    <col min="6" max="6" width="12.140625" customWidth="1"/>
    <col min="7" max="7" width="15.85546875" customWidth="1"/>
    <col min="8" max="8" width="21.7109375" customWidth="1"/>
    <col min="10" max="10" width="17.28515625" customWidth="1"/>
    <col min="11" max="11" width="14.5703125" customWidth="1"/>
  </cols>
  <sheetData>
    <row r="1" spans="1:11" x14ac:dyDescent="0.25">
      <c r="A1" s="7" t="s">
        <v>5</v>
      </c>
      <c r="B1" s="7" t="s">
        <v>10</v>
      </c>
      <c r="C1" s="7" t="s">
        <v>36</v>
      </c>
      <c r="D1" s="7" t="s">
        <v>37</v>
      </c>
      <c r="E1" s="7" t="s">
        <v>38</v>
      </c>
      <c r="F1" s="7" t="s">
        <v>39</v>
      </c>
      <c r="G1" s="7" t="s">
        <v>40</v>
      </c>
      <c r="H1" s="7" t="s">
        <v>34</v>
      </c>
      <c r="I1" t="s">
        <v>70</v>
      </c>
      <c r="J1" t="s">
        <v>71</v>
      </c>
      <c r="K1" t="s">
        <v>75</v>
      </c>
    </row>
    <row r="2" spans="1:11" x14ac:dyDescent="0.25">
      <c r="A2" s="7" t="s">
        <v>90</v>
      </c>
      <c r="B2" s="7" t="s">
        <v>845</v>
      </c>
      <c r="C2" s="7"/>
      <c r="D2" s="7" t="s">
        <v>7</v>
      </c>
      <c r="E2" s="7" t="s">
        <v>115</v>
      </c>
      <c r="F2" s="7"/>
      <c r="G2" s="7"/>
      <c r="H2" s="7"/>
      <c r="I2" t="s">
        <v>41</v>
      </c>
      <c r="K2" t="s">
        <v>46</v>
      </c>
    </row>
    <row r="3" spans="1:11" x14ac:dyDescent="0.25">
      <c r="A3" t="s">
        <v>90</v>
      </c>
      <c r="B3" t="s">
        <v>845</v>
      </c>
      <c r="D3" t="s">
        <v>7</v>
      </c>
      <c r="E3" t="s">
        <v>116</v>
      </c>
      <c r="I3" t="s">
        <v>41</v>
      </c>
      <c r="K3" t="s">
        <v>46</v>
      </c>
    </row>
    <row r="4" spans="1:11" x14ac:dyDescent="0.25">
      <c r="A4" t="s">
        <v>90</v>
      </c>
      <c r="B4" t="s">
        <v>845</v>
      </c>
      <c r="D4" t="s">
        <v>7</v>
      </c>
      <c r="E4" t="s">
        <v>117</v>
      </c>
      <c r="I4" t="s">
        <v>41</v>
      </c>
      <c r="K4" t="s">
        <v>947</v>
      </c>
    </row>
    <row r="5" spans="1:11" x14ac:dyDescent="0.25">
      <c r="A5" t="s">
        <v>90</v>
      </c>
      <c r="B5" t="s">
        <v>845</v>
      </c>
      <c r="D5" t="s">
        <v>7</v>
      </c>
      <c r="E5" t="s">
        <v>118</v>
      </c>
      <c r="I5" t="s">
        <v>41</v>
      </c>
      <c r="K5" t="s">
        <v>947</v>
      </c>
    </row>
    <row r="6" spans="1:11" x14ac:dyDescent="0.25">
      <c r="A6" t="s">
        <v>90</v>
      </c>
      <c r="B6" t="s">
        <v>845</v>
      </c>
      <c r="D6" t="s">
        <v>7</v>
      </c>
      <c r="E6" t="s">
        <v>119</v>
      </c>
      <c r="I6" t="s">
        <v>41</v>
      </c>
      <c r="K6" t="s">
        <v>46</v>
      </c>
    </row>
    <row r="7" spans="1:11" x14ac:dyDescent="0.25">
      <c r="A7" t="s">
        <v>90</v>
      </c>
      <c r="B7" t="s">
        <v>845</v>
      </c>
      <c r="D7" t="s">
        <v>7</v>
      </c>
      <c r="E7" t="s">
        <v>120</v>
      </c>
      <c r="I7" t="s">
        <v>41</v>
      </c>
      <c r="K7" t="s">
        <v>46</v>
      </c>
    </row>
    <row r="8" spans="1:11" x14ac:dyDescent="0.25">
      <c r="A8" t="s">
        <v>90</v>
      </c>
      <c r="B8" t="s">
        <v>845</v>
      </c>
      <c r="D8" t="s">
        <v>7</v>
      </c>
      <c r="E8" t="s">
        <v>121</v>
      </c>
      <c r="I8" t="s">
        <v>41</v>
      </c>
      <c r="K8" t="s">
        <v>46</v>
      </c>
    </row>
    <row r="9" spans="1:11" x14ac:dyDescent="0.25">
      <c r="A9" t="s">
        <v>90</v>
      </c>
      <c r="B9" t="s">
        <v>845</v>
      </c>
      <c r="D9" t="s">
        <v>7</v>
      </c>
      <c r="E9" t="s">
        <v>122</v>
      </c>
      <c r="I9" t="s">
        <v>41</v>
      </c>
      <c r="K9" t="s">
        <v>46</v>
      </c>
    </row>
    <row r="10" spans="1:11" x14ac:dyDescent="0.25">
      <c r="A10" t="s">
        <v>90</v>
      </c>
      <c r="B10" t="s">
        <v>845</v>
      </c>
      <c r="D10" t="s">
        <v>7</v>
      </c>
      <c r="E10" t="s">
        <v>123</v>
      </c>
      <c r="I10" t="s">
        <v>41</v>
      </c>
      <c r="K10" t="s">
        <v>947</v>
      </c>
    </row>
    <row r="11" spans="1:11" x14ac:dyDescent="0.25">
      <c r="A11" t="s">
        <v>90</v>
      </c>
      <c r="B11" t="s">
        <v>845</v>
      </c>
      <c r="D11" t="s">
        <v>7</v>
      </c>
      <c r="E11" t="s">
        <v>124</v>
      </c>
      <c r="I11" t="s">
        <v>41</v>
      </c>
      <c r="K11" t="s">
        <v>46</v>
      </c>
    </row>
    <row r="12" spans="1:11" x14ac:dyDescent="0.25">
      <c r="A12" t="s">
        <v>90</v>
      </c>
      <c r="B12" t="s">
        <v>845</v>
      </c>
      <c r="D12" t="s">
        <v>7</v>
      </c>
      <c r="E12" t="s">
        <v>125</v>
      </c>
      <c r="I12" t="s">
        <v>41</v>
      </c>
      <c r="K12" t="s">
        <v>46</v>
      </c>
    </row>
    <row r="13" spans="1:11" x14ac:dyDescent="0.25">
      <c r="A13" t="s">
        <v>90</v>
      </c>
      <c r="B13" t="s">
        <v>845</v>
      </c>
      <c r="D13" t="s">
        <v>7</v>
      </c>
      <c r="E13" t="s">
        <v>126</v>
      </c>
      <c r="I13" t="s">
        <v>41</v>
      </c>
      <c r="K13" t="s">
        <v>46</v>
      </c>
    </row>
    <row r="14" spans="1:11" x14ac:dyDescent="0.25">
      <c r="A14" t="s">
        <v>90</v>
      </c>
      <c r="B14" t="s">
        <v>845</v>
      </c>
      <c r="D14" t="s">
        <v>7</v>
      </c>
      <c r="E14" t="s">
        <v>127</v>
      </c>
      <c r="I14" t="s">
        <v>41</v>
      </c>
      <c r="K14" t="s">
        <v>45</v>
      </c>
    </row>
    <row r="15" spans="1:11" x14ac:dyDescent="0.25">
      <c r="A15" t="s">
        <v>90</v>
      </c>
      <c r="B15" t="s">
        <v>845</v>
      </c>
      <c r="D15" t="s">
        <v>7</v>
      </c>
      <c r="E15" t="s">
        <v>128</v>
      </c>
      <c r="I15" t="s">
        <v>41</v>
      </c>
      <c r="K15" t="s">
        <v>45</v>
      </c>
    </row>
    <row r="16" spans="1:11" x14ac:dyDescent="0.25">
      <c r="A16" t="s">
        <v>90</v>
      </c>
      <c r="B16" t="s">
        <v>845</v>
      </c>
      <c r="D16" t="s">
        <v>7</v>
      </c>
      <c r="E16" t="s">
        <v>129</v>
      </c>
      <c r="I16" t="s">
        <v>41</v>
      </c>
      <c r="K16" t="s">
        <v>46</v>
      </c>
    </row>
    <row r="17" spans="1:11" x14ac:dyDescent="0.25">
      <c r="A17" t="s">
        <v>90</v>
      </c>
      <c r="B17" t="s">
        <v>845</v>
      </c>
      <c r="D17" t="s">
        <v>7</v>
      </c>
      <c r="E17" t="s">
        <v>130</v>
      </c>
      <c r="I17" t="s">
        <v>41</v>
      </c>
      <c r="K17" t="s">
        <v>46</v>
      </c>
    </row>
    <row r="18" spans="1:11" x14ac:dyDescent="0.25">
      <c r="A18" t="s">
        <v>90</v>
      </c>
      <c r="B18" t="s">
        <v>845</v>
      </c>
      <c r="D18" t="s">
        <v>7</v>
      </c>
      <c r="E18" t="s">
        <v>131</v>
      </c>
      <c r="I18" t="s">
        <v>41</v>
      </c>
      <c r="K18" t="s">
        <v>47</v>
      </c>
    </row>
    <row r="19" spans="1:11" x14ac:dyDescent="0.25">
      <c r="A19" t="s">
        <v>90</v>
      </c>
      <c r="B19" t="s">
        <v>845</v>
      </c>
      <c r="D19" t="s">
        <v>7</v>
      </c>
      <c r="E19" t="s">
        <v>132</v>
      </c>
      <c r="I19" t="s">
        <v>41</v>
      </c>
      <c r="K19" t="s">
        <v>47</v>
      </c>
    </row>
    <row r="20" spans="1:11" x14ac:dyDescent="0.25">
      <c r="A20" t="s">
        <v>90</v>
      </c>
      <c r="B20" t="s">
        <v>845</v>
      </c>
      <c r="D20" t="s">
        <v>7</v>
      </c>
      <c r="E20" t="s">
        <v>133</v>
      </c>
      <c r="I20" t="s">
        <v>41</v>
      </c>
      <c r="K20" t="s">
        <v>47</v>
      </c>
    </row>
    <row r="21" spans="1:11" x14ac:dyDescent="0.25">
      <c r="A21" t="s">
        <v>90</v>
      </c>
      <c r="B21" t="s">
        <v>845</v>
      </c>
      <c r="D21" t="s">
        <v>7</v>
      </c>
      <c r="E21" t="s">
        <v>134</v>
      </c>
      <c r="I21" t="s">
        <v>41</v>
      </c>
      <c r="K21" t="s">
        <v>47</v>
      </c>
    </row>
    <row r="22" spans="1:11" x14ac:dyDescent="0.25">
      <c r="A22" t="s">
        <v>90</v>
      </c>
      <c r="B22" t="s">
        <v>845</v>
      </c>
      <c r="D22" t="s">
        <v>7</v>
      </c>
      <c r="E22" t="s">
        <v>135</v>
      </c>
      <c r="I22" t="s">
        <v>41</v>
      </c>
      <c r="K22" t="s">
        <v>47</v>
      </c>
    </row>
    <row r="23" spans="1:11" x14ac:dyDescent="0.25">
      <c r="A23" t="s">
        <v>90</v>
      </c>
      <c r="B23" t="s">
        <v>845</v>
      </c>
      <c r="D23" t="s">
        <v>7</v>
      </c>
      <c r="E23" t="s">
        <v>136</v>
      </c>
      <c r="I23" t="s">
        <v>41</v>
      </c>
      <c r="K23" t="s">
        <v>47</v>
      </c>
    </row>
    <row r="24" spans="1:11" x14ac:dyDescent="0.25">
      <c r="A24" t="s">
        <v>90</v>
      </c>
      <c r="B24" t="s">
        <v>845</v>
      </c>
      <c r="D24" t="s">
        <v>7</v>
      </c>
      <c r="E24" t="s">
        <v>137</v>
      </c>
      <c r="I24" t="s">
        <v>41</v>
      </c>
      <c r="K24" t="s">
        <v>46</v>
      </c>
    </row>
    <row r="25" spans="1:11" x14ac:dyDescent="0.25">
      <c r="A25" t="s">
        <v>90</v>
      </c>
      <c r="B25" t="s">
        <v>845</v>
      </c>
      <c r="D25" t="s">
        <v>7</v>
      </c>
      <c r="E25" t="s">
        <v>138</v>
      </c>
      <c r="I25" t="s">
        <v>41</v>
      </c>
      <c r="K25" t="s">
        <v>46</v>
      </c>
    </row>
    <row r="26" spans="1:11" x14ac:dyDescent="0.25">
      <c r="A26" t="s">
        <v>90</v>
      </c>
      <c r="B26" t="s">
        <v>845</v>
      </c>
      <c r="D26" t="s">
        <v>7</v>
      </c>
      <c r="E26" t="s">
        <v>139</v>
      </c>
      <c r="I26" t="s">
        <v>41</v>
      </c>
      <c r="K26" t="s">
        <v>46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/>
  </sheetPr>
  <dimension ref="A1:H8"/>
  <sheetViews>
    <sheetView showGridLines="0" workbookViewId="0"/>
  </sheetViews>
  <sheetFormatPr defaultRowHeight="15" x14ac:dyDescent="0.25"/>
  <cols>
    <col min="1" max="1" width="36.42578125" customWidth="1"/>
    <col min="3" max="3" width="14.85546875" customWidth="1"/>
    <col min="4" max="4" width="26.7109375" customWidth="1"/>
    <col min="5" max="5" width="25.42578125" customWidth="1"/>
    <col min="7" max="7" width="12.42578125" customWidth="1"/>
    <col min="8" max="8" width="28.28515625" customWidth="1"/>
  </cols>
  <sheetData>
    <row r="1" spans="1:8" x14ac:dyDescent="0.25">
      <c r="A1" s="7" t="s">
        <v>16</v>
      </c>
      <c r="B1" s="7" t="s">
        <v>3</v>
      </c>
      <c r="C1" s="7" t="s">
        <v>2</v>
      </c>
      <c r="D1" s="7" t="s">
        <v>48</v>
      </c>
      <c r="E1" s="7" t="s">
        <v>49</v>
      </c>
      <c r="F1" s="7" t="s">
        <v>5</v>
      </c>
      <c r="G1" s="7" t="s">
        <v>9</v>
      </c>
      <c r="H1" s="7" t="s">
        <v>50</v>
      </c>
    </row>
    <row r="2" spans="1:8" x14ac:dyDescent="0.25">
      <c r="A2" s="7" t="s">
        <v>90</v>
      </c>
      <c r="B2" s="7" t="s">
        <v>99</v>
      </c>
      <c r="C2" s="7"/>
      <c r="D2" s="7" t="s">
        <v>51</v>
      </c>
      <c r="E2" s="7" t="s">
        <v>13</v>
      </c>
      <c r="F2" s="7"/>
      <c r="G2" s="7"/>
      <c r="H2" s="7" t="s">
        <v>99</v>
      </c>
    </row>
    <row r="3" spans="1:8" x14ac:dyDescent="0.25">
      <c r="A3" t="s">
        <v>90</v>
      </c>
      <c r="B3" t="s">
        <v>829</v>
      </c>
      <c r="D3" t="s">
        <v>51</v>
      </c>
      <c r="E3" t="s">
        <v>13</v>
      </c>
      <c r="H3" t="s">
        <v>829</v>
      </c>
    </row>
    <row r="4" spans="1:8" x14ac:dyDescent="0.25">
      <c r="A4" t="s">
        <v>90</v>
      </c>
      <c r="B4" t="s">
        <v>91</v>
      </c>
      <c r="D4" t="s">
        <v>51</v>
      </c>
      <c r="E4" t="s">
        <v>13</v>
      </c>
      <c r="H4" t="s">
        <v>953</v>
      </c>
    </row>
    <row r="5" spans="1:8" x14ac:dyDescent="0.25">
      <c r="A5" t="s">
        <v>90</v>
      </c>
      <c r="B5" t="s">
        <v>91</v>
      </c>
      <c r="D5" t="s">
        <v>51</v>
      </c>
      <c r="E5" t="s">
        <v>13</v>
      </c>
      <c r="H5" t="s">
        <v>954</v>
      </c>
    </row>
    <row r="6" spans="1:8" x14ac:dyDescent="0.25">
      <c r="A6" t="s">
        <v>90</v>
      </c>
      <c r="B6" t="s">
        <v>828</v>
      </c>
      <c r="D6" t="s">
        <v>51</v>
      </c>
      <c r="E6" t="s">
        <v>13</v>
      </c>
      <c r="H6" t="s">
        <v>828</v>
      </c>
    </row>
    <row r="7" spans="1:8" x14ac:dyDescent="0.25">
      <c r="A7" t="s">
        <v>90</v>
      </c>
      <c r="B7" t="s">
        <v>104</v>
      </c>
      <c r="D7" t="s">
        <v>52</v>
      </c>
      <c r="E7" t="s">
        <v>4</v>
      </c>
      <c r="F7" t="s">
        <v>105</v>
      </c>
      <c r="H7" t="s">
        <v>104</v>
      </c>
    </row>
    <row r="8" spans="1:8" x14ac:dyDescent="0.25">
      <c r="A8" t="s">
        <v>90</v>
      </c>
      <c r="B8" t="s">
        <v>103</v>
      </c>
      <c r="D8" t="s">
        <v>52</v>
      </c>
      <c r="E8" t="s">
        <v>4</v>
      </c>
      <c r="F8" t="s">
        <v>105</v>
      </c>
      <c r="H8" t="s">
        <v>103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/>
  </sheetPr>
  <dimension ref="A1:I30"/>
  <sheetViews>
    <sheetView showGridLines="0" topLeftCell="A1321" workbookViewId="0">
      <selection activeCell="G1361" sqref="G1361"/>
    </sheetView>
  </sheetViews>
  <sheetFormatPr defaultRowHeight="15" x14ac:dyDescent="0.25"/>
  <cols>
    <col min="1" max="1" width="45" customWidth="1"/>
    <col min="2" max="2" width="36.42578125" customWidth="1"/>
    <col min="3" max="3" width="29" customWidth="1"/>
    <col min="4" max="4" width="21.7109375" customWidth="1"/>
    <col min="5" max="5" width="26.7109375" customWidth="1"/>
    <col min="6" max="6" width="23.85546875" customWidth="1"/>
    <col min="7" max="7" width="18.7109375" customWidth="1"/>
    <col min="8" max="8" width="69.140625" customWidth="1"/>
    <col min="9" max="9" width="64.7109375" customWidth="1"/>
  </cols>
  <sheetData>
    <row r="1" spans="1:9" x14ac:dyDescent="0.25">
      <c r="A1" s="7" t="s">
        <v>16</v>
      </c>
      <c r="B1" s="7" t="s">
        <v>53</v>
      </c>
      <c r="C1" s="7" t="s">
        <v>15</v>
      </c>
      <c r="D1" s="7" t="s">
        <v>54</v>
      </c>
      <c r="E1" s="7" t="s">
        <v>55</v>
      </c>
      <c r="F1" s="7" t="s">
        <v>56</v>
      </c>
      <c r="G1" s="7" t="s">
        <v>57</v>
      </c>
      <c r="H1" s="7" t="s">
        <v>59</v>
      </c>
      <c r="I1" s="7" t="s">
        <v>58</v>
      </c>
    </row>
    <row r="2" spans="1:9" x14ac:dyDescent="0.25">
      <c r="A2" s="7" t="s">
        <v>90</v>
      </c>
      <c r="B2" s="7" t="s">
        <v>852</v>
      </c>
      <c r="C2" s="7" t="s">
        <v>867</v>
      </c>
      <c r="D2" s="7" t="s">
        <v>66</v>
      </c>
      <c r="E2" s="7" t="s">
        <v>99</v>
      </c>
      <c r="F2" s="7" t="s">
        <v>510</v>
      </c>
      <c r="G2" s="7" t="s">
        <v>51</v>
      </c>
      <c r="H2" s="7" t="s">
        <v>1007</v>
      </c>
      <c r="I2" s="7" t="s">
        <v>1008</v>
      </c>
    </row>
    <row r="3" spans="1:9" x14ac:dyDescent="0.25">
      <c r="A3" t="s">
        <v>90</v>
      </c>
      <c r="B3" t="s">
        <v>852</v>
      </c>
      <c r="C3" t="s">
        <v>868</v>
      </c>
      <c r="D3" t="s">
        <v>66</v>
      </c>
      <c r="E3" t="s">
        <v>99</v>
      </c>
      <c r="F3" t="s">
        <v>511</v>
      </c>
      <c r="G3" t="s">
        <v>51</v>
      </c>
      <c r="H3" t="s">
        <v>1009</v>
      </c>
      <c r="I3" t="s">
        <v>1010</v>
      </c>
    </row>
    <row r="4" spans="1:9" x14ac:dyDescent="0.25">
      <c r="A4" t="s">
        <v>90</v>
      </c>
      <c r="B4" t="s">
        <v>852</v>
      </c>
      <c r="C4" t="s">
        <v>869</v>
      </c>
      <c r="D4" t="s">
        <v>66</v>
      </c>
      <c r="E4" t="s">
        <v>99</v>
      </c>
      <c r="F4" t="s">
        <v>154</v>
      </c>
      <c r="G4" t="s">
        <v>51</v>
      </c>
      <c r="H4" t="s">
        <v>1011</v>
      </c>
      <c r="I4" t="s">
        <v>1012</v>
      </c>
    </row>
    <row r="5" spans="1:9" x14ac:dyDescent="0.25">
      <c r="A5" t="s">
        <v>90</v>
      </c>
      <c r="B5" t="s">
        <v>862</v>
      </c>
      <c r="C5" t="s">
        <v>864</v>
      </c>
      <c r="D5" t="s">
        <v>66</v>
      </c>
      <c r="E5" t="s">
        <v>829</v>
      </c>
      <c r="F5" t="s">
        <v>838</v>
      </c>
      <c r="G5" t="s">
        <v>51</v>
      </c>
      <c r="H5" t="s">
        <v>1013</v>
      </c>
      <c r="I5" t="s">
        <v>1014</v>
      </c>
    </row>
    <row r="6" spans="1:9" x14ac:dyDescent="0.25">
      <c r="A6" t="s">
        <v>90</v>
      </c>
      <c r="B6" t="s">
        <v>862</v>
      </c>
      <c r="C6" t="s">
        <v>123</v>
      </c>
      <c r="D6" t="s">
        <v>66</v>
      </c>
      <c r="E6" t="s">
        <v>829</v>
      </c>
      <c r="F6" t="s">
        <v>326</v>
      </c>
      <c r="G6" t="s">
        <v>51</v>
      </c>
      <c r="H6" t="s">
        <v>1015</v>
      </c>
      <c r="I6" t="s">
        <v>1016</v>
      </c>
    </row>
    <row r="7" spans="1:9" x14ac:dyDescent="0.25">
      <c r="A7" t="s">
        <v>90</v>
      </c>
      <c r="B7" t="s">
        <v>860</v>
      </c>
      <c r="C7" t="s">
        <v>137</v>
      </c>
      <c r="D7" t="s">
        <v>66</v>
      </c>
      <c r="E7" t="s">
        <v>953</v>
      </c>
      <c r="F7" t="s">
        <v>137</v>
      </c>
      <c r="G7" t="s">
        <v>51</v>
      </c>
      <c r="H7" t="s">
        <v>1017</v>
      </c>
      <c r="I7" t="s">
        <v>1018</v>
      </c>
    </row>
    <row r="8" spans="1:9" x14ac:dyDescent="0.25">
      <c r="A8" t="s">
        <v>90</v>
      </c>
      <c r="B8" t="s">
        <v>860</v>
      </c>
      <c r="C8" t="s">
        <v>138</v>
      </c>
      <c r="D8" t="s">
        <v>66</v>
      </c>
      <c r="E8" t="s">
        <v>953</v>
      </c>
      <c r="F8" t="s">
        <v>138</v>
      </c>
      <c r="G8" t="s">
        <v>51</v>
      </c>
      <c r="H8" t="s">
        <v>1019</v>
      </c>
      <c r="I8" t="s">
        <v>1020</v>
      </c>
    </row>
    <row r="9" spans="1:9" x14ac:dyDescent="0.25">
      <c r="A9" t="s">
        <v>90</v>
      </c>
      <c r="B9" t="s">
        <v>860</v>
      </c>
      <c r="C9" t="s">
        <v>139</v>
      </c>
      <c r="D9" t="s">
        <v>66</v>
      </c>
      <c r="E9" t="s">
        <v>953</v>
      </c>
      <c r="F9" t="s">
        <v>139</v>
      </c>
      <c r="G9" t="s">
        <v>51</v>
      </c>
      <c r="H9" t="s">
        <v>1021</v>
      </c>
      <c r="I9" t="s">
        <v>1022</v>
      </c>
    </row>
    <row r="10" spans="1:9" x14ac:dyDescent="0.25">
      <c r="A10" t="s">
        <v>90</v>
      </c>
      <c r="B10" t="s">
        <v>860</v>
      </c>
      <c r="C10" t="s">
        <v>140</v>
      </c>
      <c r="D10" t="s">
        <v>66</v>
      </c>
      <c r="E10" t="s">
        <v>953</v>
      </c>
      <c r="F10" t="s">
        <v>140</v>
      </c>
      <c r="G10" t="s">
        <v>51</v>
      </c>
      <c r="H10" t="s">
        <v>1023</v>
      </c>
      <c r="I10" t="s">
        <v>1024</v>
      </c>
    </row>
    <row r="11" spans="1:9" x14ac:dyDescent="0.25">
      <c r="A11" t="s">
        <v>90</v>
      </c>
      <c r="B11" t="s">
        <v>860</v>
      </c>
      <c r="C11" t="s">
        <v>141</v>
      </c>
      <c r="D11" t="s">
        <v>66</v>
      </c>
      <c r="E11" t="s">
        <v>953</v>
      </c>
      <c r="F11" t="s">
        <v>141</v>
      </c>
      <c r="G11" t="s">
        <v>51</v>
      </c>
      <c r="H11" t="s">
        <v>1025</v>
      </c>
      <c r="I11" t="s">
        <v>1026</v>
      </c>
    </row>
    <row r="12" spans="1:9" x14ac:dyDescent="0.25">
      <c r="A12" t="s">
        <v>90</v>
      </c>
      <c r="B12" t="s">
        <v>860</v>
      </c>
      <c r="C12" t="s">
        <v>142</v>
      </c>
      <c r="D12" t="s">
        <v>66</v>
      </c>
      <c r="E12" t="s">
        <v>953</v>
      </c>
      <c r="F12" t="s">
        <v>142</v>
      </c>
      <c r="G12" t="s">
        <v>51</v>
      </c>
      <c r="H12" t="s">
        <v>1027</v>
      </c>
      <c r="I12" t="s">
        <v>1028</v>
      </c>
    </row>
    <row r="13" spans="1:9" x14ac:dyDescent="0.25">
      <c r="A13" t="s">
        <v>90</v>
      </c>
      <c r="B13" t="s">
        <v>860</v>
      </c>
      <c r="C13" t="s">
        <v>143</v>
      </c>
      <c r="D13" t="s">
        <v>66</v>
      </c>
      <c r="E13" t="s">
        <v>953</v>
      </c>
      <c r="F13" t="s">
        <v>143</v>
      </c>
      <c r="G13" t="s">
        <v>51</v>
      </c>
      <c r="H13" t="s">
        <v>1029</v>
      </c>
      <c r="I13" t="s">
        <v>1030</v>
      </c>
    </row>
    <row r="14" spans="1:9" x14ac:dyDescent="0.25">
      <c r="A14" t="s">
        <v>90</v>
      </c>
      <c r="B14" t="s">
        <v>860</v>
      </c>
      <c r="C14" t="s">
        <v>144</v>
      </c>
      <c r="D14" t="s">
        <v>66</v>
      </c>
      <c r="E14" t="s">
        <v>953</v>
      </c>
      <c r="F14" t="s">
        <v>144</v>
      </c>
      <c r="G14" t="s">
        <v>51</v>
      </c>
      <c r="H14" t="s">
        <v>1031</v>
      </c>
      <c r="I14" t="s">
        <v>1032</v>
      </c>
    </row>
    <row r="15" spans="1:9" x14ac:dyDescent="0.25">
      <c r="A15" t="s">
        <v>90</v>
      </c>
      <c r="B15" t="s">
        <v>860</v>
      </c>
      <c r="C15" t="s">
        <v>145</v>
      </c>
      <c r="D15" t="s">
        <v>66</v>
      </c>
      <c r="E15" t="s">
        <v>953</v>
      </c>
      <c r="F15" t="s">
        <v>145</v>
      </c>
      <c r="G15" t="s">
        <v>51</v>
      </c>
      <c r="H15" t="s">
        <v>1033</v>
      </c>
      <c r="I15" t="s">
        <v>1034</v>
      </c>
    </row>
    <row r="16" spans="1:9" x14ac:dyDescent="0.25">
      <c r="A16" t="s">
        <v>90</v>
      </c>
      <c r="B16" t="s">
        <v>860</v>
      </c>
      <c r="C16" t="s">
        <v>146</v>
      </c>
      <c r="D16" t="s">
        <v>66</v>
      </c>
      <c r="E16" t="s">
        <v>953</v>
      </c>
      <c r="F16" t="s">
        <v>146</v>
      </c>
      <c r="G16" t="s">
        <v>51</v>
      </c>
      <c r="H16" t="s">
        <v>1035</v>
      </c>
      <c r="I16" t="s">
        <v>1036</v>
      </c>
    </row>
    <row r="17" spans="1:9" x14ac:dyDescent="0.25">
      <c r="A17" t="s">
        <v>90</v>
      </c>
      <c r="B17" t="s">
        <v>860</v>
      </c>
      <c r="C17" t="s">
        <v>147</v>
      </c>
      <c r="D17" t="s">
        <v>66</v>
      </c>
      <c r="E17" t="s">
        <v>953</v>
      </c>
      <c r="F17" t="s">
        <v>147</v>
      </c>
      <c r="G17" t="s">
        <v>51</v>
      </c>
      <c r="H17" t="s">
        <v>1037</v>
      </c>
      <c r="I17" t="s">
        <v>1038</v>
      </c>
    </row>
    <row r="18" spans="1:9" x14ac:dyDescent="0.25">
      <c r="A18" t="s">
        <v>90</v>
      </c>
      <c r="B18" t="s">
        <v>860</v>
      </c>
      <c r="C18" t="s">
        <v>879</v>
      </c>
      <c r="D18" t="s">
        <v>66</v>
      </c>
      <c r="E18" t="s">
        <v>953</v>
      </c>
      <c r="F18" t="s">
        <v>148</v>
      </c>
      <c r="G18" t="s">
        <v>51</v>
      </c>
      <c r="H18" t="s">
        <v>1039</v>
      </c>
      <c r="I18" t="s">
        <v>1040</v>
      </c>
    </row>
    <row r="19" spans="1:9" x14ac:dyDescent="0.25">
      <c r="A19" t="s">
        <v>90</v>
      </c>
      <c r="B19" t="s">
        <v>860</v>
      </c>
      <c r="C19" t="s">
        <v>880</v>
      </c>
      <c r="D19" t="s">
        <v>66</v>
      </c>
      <c r="E19" t="s">
        <v>953</v>
      </c>
      <c r="F19" t="s">
        <v>149</v>
      </c>
      <c r="G19" t="s">
        <v>51</v>
      </c>
      <c r="H19" t="s">
        <v>1041</v>
      </c>
      <c r="I19" t="s">
        <v>1042</v>
      </c>
    </row>
    <row r="20" spans="1:9" x14ac:dyDescent="0.25">
      <c r="A20" t="s">
        <v>90</v>
      </c>
      <c r="B20" t="s">
        <v>860</v>
      </c>
      <c r="C20" t="s">
        <v>880</v>
      </c>
      <c r="D20" t="s">
        <v>66</v>
      </c>
      <c r="E20" t="s">
        <v>953</v>
      </c>
      <c r="F20" t="s">
        <v>151</v>
      </c>
      <c r="G20" t="s">
        <v>51</v>
      </c>
      <c r="H20" t="s">
        <v>1041</v>
      </c>
      <c r="I20" t="s">
        <v>1043</v>
      </c>
    </row>
    <row r="21" spans="1:9" x14ac:dyDescent="0.25">
      <c r="A21" t="s">
        <v>90</v>
      </c>
      <c r="B21" t="s">
        <v>860</v>
      </c>
      <c r="C21" t="s">
        <v>866</v>
      </c>
      <c r="D21" t="s">
        <v>66</v>
      </c>
      <c r="E21" t="s">
        <v>953</v>
      </c>
      <c r="F21" t="s">
        <v>150</v>
      </c>
      <c r="G21" t="s">
        <v>51</v>
      </c>
      <c r="H21" t="s">
        <v>1044</v>
      </c>
      <c r="I21" t="s">
        <v>1045</v>
      </c>
    </row>
    <row r="22" spans="1:9" x14ac:dyDescent="0.25">
      <c r="A22" t="s">
        <v>90</v>
      </c>
      <c r="B22" t="s">
        <v>860</v>
      </c>
      <c r="C22" t="s">
        <v>866</v>
      </c>
      <c r="D22" t="s">
        <v>66</v>
      </c>
      <c r="E22" t="s">
        <v>953</v>
      </c>
      <c r="F22" t="s">
        <v>152</v>
      </c>
      <c r="G22" t="s">
        <v>51</v>
      </c>
      <c r="H22" t="s">
        <v>1044</v>
      </c>
      <c r="I22" t="s">
        <v>1046</v>
      </c>
    </row>
    <row r="23" spans="1:9" x14ac:dyDescent="0.25">
      <c r="A23" t="s">
        <v>90</v>
      </c>
      <c r="B23" t="s">
        <v>860</v>
      </c>
      <c r="C23" t="s">
        <v>113</v>
      </c>
      <c r="D23" t="s">
        <v>66</v>
      </c>
      <c r="E23" t="s">
        <v>953</v>
      </c>
      <c r="F23" t="s">
        <v>113</v>
      </c>
      <c r="G23" t="s">
        <v>51</v>
      </c>
      <c r="H23" t="s">
        <v>1047</v>
      </c>
      <c r="I23" t="s">
        <v>1048</v>
      </c>
    </row>
    <row r="24" spans="1:9" x14ac:dyDescent="0.25">
      <c r="A24" t="s">
        <v>90</v>
      </c>
      <c r="B24" t="s">
        <v>860</v>
      </c>
      <c r="C24" t="s">
        <v>114</v>
      </c>
      <c r="D24" t="s">
        <v>66</v>
      </c>
      <c r="E24" t="s">
        <v>953</v>
      </c>
      <c r="F24" t="s">
        <v>114</v>
      </c>
      <c r="G24" t="s">
        <v>51</v>
      </c>
      <c r="H24" t="s">
        <v>1049</v>
      </c>
      <c r="I24" t="s">
        <v>1050</v>
      </c>
    </row>
    <row r="25" spans="1:9" x14ac:dyDescent="0.25">
      <c r="A25" t="s">
        <v>90</v>
      </c>
      <c r="B25" t="s">
        <v>860</v>
      </c>
      <c r="C25" t="s">
        <v>115</v>
      </c>
      <c r="D25" t="s">
        <v>66</v>
      </c>
      <c r="E25" t="s">
        <v>953</v>
      </c>
      <c r="F25" t="s">
        <v>115</v>
      </c>
      <c r="G25" t="s">
        <v>51</v>
      </c>
      <c r="H25" t="s">
        <v>1051</v>
      </c>
      <c r="I25" t="s">
        <v>1052</v>
      </c>
    </row>
    <row r="26" spans="1:9" x14ac:dyDescent="0.25">
      <c r="A26" t="s">
        <v>90</v>
      </c>
      <c r="B26" t="s">
        <v>860</v>
      </c>
      <c r="C26" t="s">
        <v>116</v>
      </c>
      <c r="D26" t="s">
        <v>66</v>
      </c>
      <c r="E26" t="s">
        <v>953</v>
      </c>
      <c r="F26" t="s">
        <v>116</v>
      </c>
      <c r="G26" t="s">
        <v>51</v>
      </c>
      <c r="H26" t="s">
        <v>1053</v>
      </c>
      <c r="I26" t="s">
        <v>1054</v>
      </c>
    </row>
    <row r="27" spans="1:9" x14ac:dyDescent="0.25">
      <c r="A27" t="s">
        <v>90</v>
      </c>
      <c r="B27" t="s">
        <v>860</v>
      </c>
      <c r="C27" t="s">
        <v>870</v>
      </c>
      <c r="D27" t="s">
        <v>66</v>
      </c>
      <c r="E27" t="s">
        <v>953</v>
      </c>
      <c r="F27" t="s">
        <v>117</v>
      </c>
      <c r="G27" t="s">
        <v>51</v>
      </c>
      <c r="H27" t="s">
        <v>1055</v>
      </c>
      <c r="I27" t="s">
        <v>1056</v>
      </c>
    </row>
    <row r="28" spans="1:9" x14ac:dyDescent="0.25">
      <c r="A28" t="s">
        <v>90</v>
      </c>
      <c r="B28" t="s">
        <v>860</v>
      </c>
      <c r="C28" t="s">
        <v>871</v>
      </c>
      <c r="D28" t="s">
        <v>66</v>
      </c>
      <c r="E28" t="s">
        <v>953</v>
      </c>
      <c r="F28" t="s">
        <v>118</v>
      </c>
      <c r="G28" t="s">
        <v>51</v>
      </c>
      <c r="H28" t="s">
        <v>1057</v>
      </c>
      <c r="I28" t="s">
        <v>1058</v>
      </c>
    </row>
    <row r="29" spans="1:9" x14ac:dyDescent="0.25">
      <c r="A29" t="s">
        <v>90</v>
      </c>
      <c r="B29" t="s">
        <v>860</v>
      </c>
      <c r="C29" t="s">
        <v>119</v>
      </c>
      <c r="D29" t="s">
        <v>66</v>
      </c>
      <c r="E29" t="s">
        <v>953</v>
      </c>
      <c r="F29" t="s">
        <v>119</v>
      </c>
      <c r="G29" t="s">
        <v>51</v>
      </c>
      <c r="H29" t="s">
        <v>1059</v>
      </c>
      <c r="I29" t="s">
        <v>1060</v>
      </c>
    </row>
    <row r="30" spans="1:9" x14ac:dyDescent="0.25">
      <c r="A30" t="s">
        <v>90</v>
      </c>
      <c r="B30" t="s">
        <v>860</v>
      </c>
      <c r="C30" t="s">
        <v>120</v>
      </c>
      <c r="D30" t="s">
        <v>66</v>
      </c>
      <c r="E30" t="s">
        <v>953</v>
      </c>
      <c r="F30" t="s">
        <v>120</v>
      </c>
      <c r="G30" t="s">
        <v>51</v>
      </c>
      <c r="H30" t="s">
        <v>1061</v>
      </c>
      <c r="I30" t="s">
        <v>1062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8" tint="-0.499984740745262"/>
  </sheetPr>
  <dimension ref="A1:K1134"/>
  <sheetViews>
    <sheetView showGridLines="0" zoomScaleNormal="100" workbookViewId="0">
      <selection activeCell="A3" sqref="A3"/>
    </sheetView>
  </sheetViews>
  <sheetFormatPr defaultRowHeight="15" x14ac:dyDescent="0.25"/>
  <cols>
    <col min="1" max="1" width="31.85546875" bestFit="1" customWidth="1"/>
    <col min="2" max="2" width="33.42578125" bestFit="1" customWidth="1"/>
    <col min="3" max="3" width="12.28515625" bestFit="1" customWidth="1"/>
    <col min="4" max="4" width="19.5703125" bestFit="1" customWidth="1"/>
    <col min="5" max="5" width="13.7109375" customWidth="1"/>
    <col min="6" max="6" width="13.140625" customWidth="1"/>
    <col min="7" max="7" width="18.5703125" bestFit="1" customWidth="1"/>
    <col min="8" max="8" width="34.5703125" bestFit="1" customWidth="1"/>
    <col min="9" max="9" width="16.140625" customWidth="1"/>
    <col min="10" max="10" width="12.140625" customWidth="1"/>
    <col min="11" max="11" width="8.42578125" customWidth="1"/>
    <col min="12" max="12" width="8.42578125" bestFit="1" customWidth="1"/>
  </cols>
  <sheetData>
    <row r="1" spans="1:11" ht="30" x14ac:dyDescent="0.25">
      <c r="A1" s="2" t="s">
        <v>16</v>
      </c>
      <c r="B1" s="2" t="s">
        <v>0</v>
      </c>
      <c r="C1" s="2" t="s">
        <v>24</v>
      </c>
      <c r="D1" s="2" t="s">
        <v>25</v>
      </c>
      <c r="E1" s="2" t="s">
        <v>22</v>
      </c>
      <c r="F1" s="2" t="s">
        <v>21</v>
      </c>
      <c r="G1" s="2" t="s">
        <v>23</v>
      </c>
      <c r="H1" s="2" t="s">
        <v>10</v>
      </c>
      <c r="I1" s="2" t="s">
        <v>27</v>
      </c>
      <c r="J1" s="2" t="s">
        <v>30</v>
      </c>
      <c r="K1" s="2" t="s">
        <v>33</v>
      </c>
    </row>
    <row r="2" spans="1:11" x14ac:dyDescent="0.25">
      <c r="A2" s="18" t="str">
        <f t="shared" ref="A2:A3" si="0" xml:space="preserve">  MapNameLkup</f>
        <v>m_ofs_trex_ar_invoices</v>
      </c>
      <c r="B2" s="1" t="s">
        <v>91</v>
      </c>
      <c r="C2" s="1" t="s">
        <v>87</v>
      </c>
      <c r="D2" s="1" t="s">
        <v>12</v>
      </c>
      <c r="E2" s="1" t="s">
        <v>106</v>
      </c>
      <c r="F2">
        <v>1</v>
      </c>
      <c r="G2" s="1"/>
      <c r="H2" s="1" t="s">
        <v>112</v>
      </c>
      <c r="I2" s="1" t="s">
        <v>29</v>
      </c>
      <c r="J2" s="1" t="s">
        <v>32</v>
      </c>
      <c r="K2">
        <v>1</v>
      </c>
    </row>
    <row r="3" spans="1:11" x14ac:dyDescent="0.25">
      <c r="A3" s="18" t="str">
        <f t="shared" si="0"/>
        <v>m_ofs_trex_ar_invoices</v>
      </c>
      <c r="B3" s="1" t="s">
        <v>91</v>
      </c>
      <c r="C3" s="1" t="s">
        <v>87</v>
      </c>
      <c r="D3" s="1" t="s">
        <v>12</v>
      </c>
      <c r="E3" s="1" t="s">
        <v>106</v>
      </c>
      <c r="F3">
        <v>1</v>
      </c>
      <c r="G3" s="1"/>
      <c r="H3" s="1" t="s">
        <v>113</v>
      </c>
      <c r="I3" s="1" t="s">
        <v>28</v>
      </c>
      <c r="J3" s="1" t="s">
        <v>32</v>
      </c>
      <c r="K3">
        <v>2</v>
      </c>
    </row>
    <row r="4" spans="1:11" x14ac:dyDescent="0.25">
      <c r="A4" s="18" t="str">
        <f t="shared" ref="A4:A9" si="1" xml:space="preserve">  MapNameLkup</f>
        <v>m_ofs_trex_ar_invoices</v>
      </c>
      <c r="B4" s="1" t="s">
        <v>91</v>
      </c>
      <c r="C4" s="1" t="s">
        <v>87</v>
      </c>
      <c r="D4" s="1" t="s">
        <v>12</v>
      </c>
      <c r="E4" s="1" t="s">
        <v>106</v>
      </c>
      <c r="F4">
        <v>1</v>
      </c>
      <c r="G4" s="1"/>
      <c r="H4" s="1" t="s">
        <v>114</v>
      </c>
      <c r="I4" s="1" t="s">
        <v>28</v>
      </c>
      <c r="J4" s="1" t="s">
        <v>31</v>
      </c>
      <c r="K4">
        <v>3</v>
      </c>
    </row>
    <row r="5" spans="1:11" x14ac:dyDescent="0.25">
      <c r="A5" s="18" t="str">
        <f t="shared" si="1"/>
        <v>m_ofs_trex_ar_invoices</v>
      </c>
      <c r="B5" s="1" t="s">
        <v>91</v>
      </c>
      <c r="C5" s="1" t="s">
        <v>87</v>
      </c>
      <c r="D5" s="1" t="s">
        <v>12</v>
      </c>
      <c r="E5" s="1" t="s">
        <v>106</v>
      </c>
      <c r="F5">
        <v>1</v>
      </c>
      <c r="G5" s="1"/>
      <c r="H5" s="1" t="s">
        <v>115</v>
      </c>
      <c r="I5" s="1" t="s">
        <v>28</v>
      </c>
      <c r="J5" s="1" t="s">
        <v>31</v>
      </c>
      <c r="K5">
        <v>4</v>
      </c>
    </row>
    <row r="6" spans="1:11" x14ac:dyDescent="0.25">
      <c r="A6" s="18" t="str">
        <f t="shared" si="1"/>
        <v>m_ofs_trex_ar_invoices</v>
      </c>
      <c r="B6" s="1" t="s">
        <v>91</v>
      </c>
      <c r="C6" s="1" t="s">
        <v>87</v>
      </c>
      <c r="D6" s="1" t="s">
        <v>12</v>
      </c>
      <c r="E6" s="1" t="s">
        <v>106</v>
      </c>
      <c r="F6">
        <v>1</v>
      </c>
      <c r="G6" s="1"/>
      <c r="H6" s="1" t="s">
        <v>116</v>
      </c>
      <c r="I6" s="1" t="s">
        <v>28</v>
      </c>
      <c r="J6" s="1" t="s">
        <v>31</v>
      </c>
      <c r="K6">
        <v>5</v>
      </c>
    </row>
    <row r="7" spans="1:11" x14ac:dyDescent="0.25">
      <c r="A7" s="18" t="str">
        <f t="shared" si="1"/>
        <v>m_ofs_trex_ar_invoices</v>
      </c>
      <c r="B7" s="1" t="s">
        <v>91</v>
      </c>
      <c r="C7" s="1" t="s">
        <v>87</v>
      </c>
      <c r="D7" s="1" t="s">
        <v>12</v>
      </c>
      <c r="E7" s="1" t="s">
        <v>106</v>
      </c>
      <c r="F7">
        <v>1</v>
      </c>
      <c r="G7" s="1"/>
      <c r="H7" s="1" t="s">
        <v>117</v>
      </c>
      <c r="I7" s="1" t="s">
        <v>28</v>
      </c>
      <c r="J7" s="1" t="s">
        <v>31</v>
      </c>
      <c r="K7">
        <v>6</v>
      </c>
    </row>
    <row r="8" spans="1:11" x14ac:dyDescent="0.25">
      <c r="A8" s="18" t="str">
        <f t="shared" si="1"/>
        <v>m_ofs_trex_ar_invoices</v>
      </c>
      <c r="B8" s="1" t="s">
        <v>91</v>
      </c>
      <c r="C8" s="1" t="s">
        <v>87</v>
      </c>
      <c r="D8" s="1" t="s">
        <v>12</v>
      </c>
      <c r="E8" s="1" t="s">
        <v>106</v>
      </c>
      <c r="F8">
        <v>1</v>
      </c>
      <c r="G8" s="1"/>
      <c r="H8" s="1" t="s">
        <v>118</v>
      </c>
      <c r="I8" s="1" t="s">
        <v>28</v>
      </c>
      <c r="J8" s="1" t="s">
        <v>31</v>
      </c>
      <c r="K8">
        <v>7</v>
      </c>
    </row>
    <row r="9" spans="1:11" x14ac:dyDescent="0.25">
      <c r="A9" s="18" t="str">
        <f t="shared" si="1"/>
        <v>m_ofs_trex_ar_invoices</v>
      </c>
      <c r="B9" s="1" t="s">
        <v>91</v>
      </c>
      <c r="C9" s="1" t="s">
        <v>87</v>
      </c>
      <c r="D9" s="1" t="s">
        <v>12</v>
      </c>
      <c r="E9" s="1" t="s">
        <v>106</v>
      </c>
      <c r="F9">
        <v>1</v>
      </c>
      <c r="G9" s="1"/>
      <c r="H9" s="1" t="s">
        <v>119</v>
      </c>
      <c r="I9" s="1" t="s">
        <v>28</v>
      </c>
      <c r="J9" s="1" t="s">
        <v>31</v>
      </c>
      <c r="K9">
        <v>8</v>
      </c>
    </row>
    <row r="10" spans="1:11" x14ac:dyDescent="0.25">
      <c r="A10" s="18" t="str">
        <f xml:space="preserve">  MapNameLkup</f>
        <v>m_ofs_trex_ar_invoices</v>
      </c>
      <c r="B10" s="1" t="s">
        <v>91</v>
      </c>
      <c r="C10" s="1" t="s">
        <v>87</v>
      </c>
      <c r="D10" s="1" t="s">
        <v>12</v>
      </c>
      <c r="E10" s="1" t="s">
        <v>106</v>
      </c>
      <c r="F10">
        <v>1</v>
      </c>
      <c r="G10" s="1"/>
      <c r="H10" s="1" t="s">
        <v>120</v>
      </c>
      <c r="I10" s="1" t="s">
        <v>28</v>
      </c>
      <c r="J10" s="1" t="s">
        <v>31</v>
      </c>
      <c r="K10">
        <v>9</v>
      </c>
    </row>
    <row r="11" spans="1:11" x14ac:dyDescent="0.25">
      <c r="A11" s="18" t="str">
        <f xml:space="preserve">  MapNameLkup</f>
        <v>m_ofs_trex_ar_invoices</v>
      </c>
      <c r="B11" s="1" t="s">
        <v>91</v>
      </c>
      <c r="C11" s="1" t="s">
        <v>87</v>
      </c>
      <c r="D11" s="1" t="s">
        <v>12</v>
      </c>
      <c r="E11" s="1" t="s">
        <v>106</v>
      </c>
      <c r="F11">
        <v>1</v>
      </c>
      <c r="G11" s="1"/>
      <c r="H11" s="1" t="s">
        <v>121</v>
      </c>
      <c r="I11" s="1" t="s">
        <v>28</v>
      </c>
      <c r="J11" s="1" t="s">
        <v>31</v>
      </c>
      <c r="K11">
        <v>10</v>
      </c>
    </row>
    <row r="12" spans="1:11" x14ac:dyDescent="0.25">
      <c r="A12" s="18" t="str">
        <f xml:space="preserve">  MapNameLkup</f>
        <v>m_ofs_trex_ar_invoices</v>
      </c>
      <c r="B12" s="1" t="s">
        <v>91</v>
      </c>
      <c r="C12" s="1" t="s">
        <v>87</v>
      </c>
      <c r="D12" s="1" t="s">
        <v>12</v>
      </c>
      <c r="E12" s="1" t="s">
        <v>106</v>
      </c>
      <c r="F12">
        <v>1</v>
      </c>
      <c r="G12" s="1"/>
      <c r="H12" s="1" t="s">
        <v>122</v>
      </c>
      <c r="I12" s="1" t="s">
        <v>28</v>
      </c>
      <c r="J12" s="1" t="s">
        <v>31</v>
      </c>
      <c r="K12">
        <v>11</v>
      </c>
    </row>
    <row r="13" spans="1:11" x14ac:dyDescent="0.25">
      <c r="A13" s="18" t="str">
        <f xml:space="preserve">  MapNameLkup</f>
        <v>m_ofs_trex_ar_invoices</v>
      </c>
      <c r="B13" s="1" t="s">
        <v>91</v>
      </c>
      <c r="C13" s="1" t="s">
        <v>87</v>
      </c>
      <c r="D13" s="1" t="s">
        <v>12</v>
      </c>
      <c r="E13" s="1" t="s">
        <v>106</v>
      </c>
      <c r="F13">
        <v>1</v>
      </c>
      <c r="G13" s="1"/>
      <c r="H13" s="1" t="s">
        <v>123</v>
      </c>
      <c r="I13" s="1" t="s">
        <v>28</v>
      </c>
      <c r="J13" s="1" t="s">
        <v>31</v>
      </c>
      <c r="K13">
        <v>12</v>
      </c>
    </row>
    <row r="14" spans="1:11" x14ac:dyDescent="0.25">
      <c r="A14" s="18" t="str">
        <f xml:space="preserve">  MapNameLkup</f>
        <v>m_ofs_trex_ar_invoices</v>
      </c>
      <c r="B14" s="1" t="s">
        <v>91</v>
      </c>
      <c r="C14" s="1" t="s">
        <v>87</v>
      </c>
      <c r="D14" s="1" t="s">
        <v>12</v>
      </c>
      <c r="E14" s="1" t="s">
        <v>106</v>
      </c>
      <c r="F14">
        <v>1</v>
      </c>
      <c r="G14" s="1"/>
      <c r="H14" s="1" t="s">
        <v>124</v>
      </c>
      <c r="I14" s="1" t="s">
        <v>28</v>
      </c>
      <c r="J14" s="1" t="s">
        <v>31</v>
      </c>
      <c r="K14">
        <v>13</v>
      </c>
    </row>
    <row r="15" spans="1:11" x14ac:dyDescent="0.25">
      <c r="A15" s="18" t="str">
        <f xml:space="preserve">  MapNameLkup</f>
        <v>m_ofs_trex_ar_invoices</v>
      </c>
      <c r="B15" s="1" t="s">
        <v>91</v>
      </c>
      <c r="C15" s="1" t="s">
        <v>87</v>
      </c>
      <c r="D15" s="1" t="s">
        <v>12</v>
      </c>
      <c r="E15" s="1" t="s">
        <v>106</v>
      </c>
      <c r="F15">
        <v>1</v>
      </c>
      <c r="G15" s="1"/>
      <c r="H15" s="1" t="s">
        <v>125</v>
      </c>
      <c r="I15" s="1" t="s">
        <v>28</v>
      </c>
      <c r="J15" s="1" t="s">
        <v>31</v>
      </c>
      <c r="K15">
        <v>14</v>
      </c>
    </row>
    <row r="16" spans="1:11" x14ac:dyDescent="0.25">
      <c r="A16" s="18" t="str">
        <f xml:space="preserve">  MapNameLkup</f>
        <v>m_ofs_trex_ar_invoices</v>
      </c>
      <c r="B16" s="1" t="s">
        <v>91</v>
      </c>
      <c r="C16" s="1" t="s">
        <v>87</v>
      </c>
      <c r="D16" s="1" t="s">
        <v>12</v>
      </c>
      <c r="E16" s="1" t="s">
        <v>106</v>
      </c>
      <c r="F16">
        <v>1</v>
      </c>
      <c r="G16" s="1"/>
      <c r="H16" s="1" t="s">
        <v>126</v>
      </c>
      <c r="I16" s="1" t="s">
        <v>28</v>
      </c>
      <c r="J16" s="1" t="s">
        <v>31</v>
      </c>
      <c r="K16">
        <v>15</v>
      </c>
    </row>
    <row r="17" spans="1:11" x14ac:dyDescent="0.25">
      <c r="A17" s="18" t="str">
        <f xml:space="preserve">  MapNameLkup</f>
        <v>m_ofs_trex_ar_invoices</v>
      </c>
      <c r="B17" s="1" t="s">
        <v>91</v>
      </c>
      <c r="C17" s="1" t="s">
        <v>87</v>
      </c>
      <c r="D17" s="1" t="s">
        <v>12</v>
      </c>
      <c r="E17" s="1" t="s">
        <v>106</v>
      </c>
      <c r="F17">
        <v>1</v>
      </c>
      <c r="G17" s="1"/>
      <c r="H17" s="1" t="s">
        <v>127</v>
      </c>
      <c r="I17" s="1" t="s">
        <v>28</v>
      </c>
      <c r="J17" s="1" t="s">
        <v>31</v>
      </c>
      <c r="K17">
        <v>16</v>
      </c>
    </row>
    <row r="18" spans="1:11" x14ac:dyDescent="0.25">
      <c r="A18" s="18" t="str">
        <f xml:space="preserve">  MapNameLkup</f>
        <v>m_ofs_trex_ar_invoices</v>
      </c>
      <c r="B18" s="1" t="s">
        <v>91</v>
      </c>
      <c r="C18" s="1" t="s">
        <v>87</v>
      </c>
      <c r="D18" s="1" t="s">
        <v>12</v>
      </c>
      <c r="E18" s="1" t="s">
        <v>106</v>
      </c>
      <c r="F18">
        <v>1</v>
      </c>
      <c r="G18" s="1"/>
      <c r="H18" s="1" t="s">
        <v>128</v>
      </c>
      <c r="I18" s="1" t="s">
        <v>28</v>
      </c>
      <c r="J18" s="1" t="s">
        <v>31</v>
      </c>
      <c r="K18">
        <v>17</v>
      </c>
    </row>
    <row r="19" spans="1:11" x14ac:dyDescent="0.25">
      <c r="A19" s="18" t="str">
        <f xml:space="preserve">  MapNameLkup</f>
        <v>m_ofs_trex_ar_invoices</v>
      </c>
      <c r="B19" s="1" t="s">
        <v>91</v>
      </c>
      <c r="C19" s="1" t="s">
        <v>87</v>
      </c>
      <c r="D19" s="1" t="s">
        <v>12</v>
      </c>
      <c r="E19" s="1" t="s">
        <v>106</v>
      </c>
      <c r="F19">
        <v>1</v>
      </c>
      <c r="G19" s="1"/>
      <c r="H19" s="1" t="s">
        <v>129</v>
      </c>
      <c r="I19" s="1" t="s">
        <v>28</v>
      </c>
      <c r="J19" s="1" t="s">
        <v>31</v>
      </c>
      <c r="K19">
        <v>18</v>
      </c>
    </row>
    <row r="20" spans="1:11" x14ac:dyDescent="0.25">
      <c r="A20" s="18" t="str">
        <f xml:space="preserve">  MapNameLkup</f>
        <v>m_ofs_trex_ar_invoices</v>
      </c>
      <c r="B20" s="1" t="s">
        <v>91</v>
      </c>
      <c r="C20" s="1" t="s">
        <v>87</v>
      </c>
      <c r="D20" s="1" t="s">
        <v>12</v>
      </c>
      <c r="E20" s="1" t="s">
        <v>106</v>
      </c>
      <c r="F20">
        <v>1</v>
      </c>
      <c r="G20" s="1"/>
      <c r="H20" s="1" t="s">
        <v>130</v>
      </c>
      <c r="I20" s="1" t="s">
        <v>28</v>
      </c>
      <c r="J20" s="1" t="s">
        <v>31</v>
      </c>
      <c r="K20">
        <v>19</v>
      </c>
    </row>
    <row r="21" spans="1:11" x14ac:dyDescent="0.25">
      <c r="A21" s="18" t="str">
        <f xml:space="preserve">  MapNameLkup</f>
        <v>m_ofs_trex_ar_invoices</v>
      </c>
      <c r="B21" s="1" t="s">
        <v>91</v>
      </c>
      <c r="C21" s="1" t="s">
        <v>87</v>
      </c>
      <c r="D21" s="1" t="s">
        <v>12</v>
      </c>
      <c r="E21" s="1" t="s">
        <v>106</v>
      </c>
      <c r="F21">
        <v>1</v>
      </c>
      <c r="G21" s="1"/>
      <c r="H21" s="1" t="s">
        <v>131</v>
      </c>
      <c r="I21" s="1" t="s">
        <v>28</v>
      </c>
      <c r="J21" s="1" t="s">
        <v>31</v>
      </c>
      <c r="K21">
        <v>20</v>
      </c>
    </row>
    <row r="22" spans="1:11" x14ac:dyDescent="0.25">
      <c r="A22" s="18" t="str">
        <f xml:space="preserve">  MapNameLkup</f>
        <v>m_ofs_trex_ar_invoices</v>
      </c>
      <c r="B22" s="1" t="s">
        <v>91</v>
      </c>
      <c r="C22" s="1" t="s">
        <v>87</v>
      </c>
      <c r="D22" s="1" t="s">
        <v>12</v>
      </c>
      <c r="E22" s="1" t="s">
        <v>106</v>
      </c>
      <c r="F22">
        <v>1</v>
      </c>
      <c r="G22" s="1"/>
      <c r="H22" s="1" t="s">
        <v>132</v>
      </c>
      <c r="I22" s="1" t="s">
        <v>28</v>
      </c>
      <c r="J22" s="1" t="s">
        <v>31</v>
      </c>
      <c r="K22">
        <v>21</v>
      </c>
    </row>
    <row r="23" spans="1:11" x14ac:dyDescent="0.25">
      <c r="A23" s="18" t="str">
        <f xml:space="preserve">  MapNameLkup</f>
        <v>m_ofs_trex_ar_invoices</v>
      </c>
      <c r="B23" s="1" t="s">
        <v>91</v>
      </c>
      <c r="C23" s="1" t="s">
        <v>87</v>
      </c>
      <c r="D23" s="1" t="s">
        <v>12</v>
      </c>
      <c r="E23" s="1" t="s">
        <v>106</v>
      </c>
      <c r="F23">
        <v>1</v>
      </c>
      <c r="G23" s="1"/>
      <c r="H23" s="1" t="s">
        <v>133</v>
      </c>
      <c r="I23" s="1" t="s">
        <v>28</v>
      </c>
      <c r="J23" s="1" t="s">
        <v>31</v>
      </c>
      <c r="K23">
        <v>22</v>
      </c>
    </row>
    <row r="24" spans="1:11" x14ac:dyDescent="0.25">
      <c r="A24" s="18" t="str">
        <f xml:space="preserve">  MapNameLkup</f>
        <v>m_ofs_trex_ar_invoices</v>
      </c>
      <c r="B24" s="1" t="s">
        <v>91</v>
      </c>
      <c r="C24" s="1" t="s">
        <v>87</v>
      </c>
      <c r="D24" s="1" t="s">
        <v>12</v>
      </c>
      <c r="E24" s="1" t="s">
        <v>106</v>
      </c>
      <c r="F24">
        <v>1</v>
      </c>
      <c r="G24" s="1"/>
      <c r="H24" s="1" t="s">
        <v>134</v>
      </c>
      <c r="I24" s="1" t="s">
        <v>28</v>
      </c>
      <c r="J24" s="1" t="s">
        <v>31</v>
      </c>
      <c r="K24">
        <v>23</v>
      </c>
    </row>
    <row r="25" spans="1:11" x14ac:dyDescent="0.25">
      <c r="A25" s="18" t="str">
        <f xml:space="preserve">  MapNameLkup</f>
        <v>m_ofs_trex_ar_invoices</v>
      </c>
      <c r="B25" s="1" t="s">
        <v>91</v>
      </c>
      <c r="C25" s="1" t="s">
        <v>87</v>
      </c>
      <c r="D25" s="1" t="s">
        <v>12</v>
      </c>
      <c r="E25" s="1" t="s">
        <v>106</v>
      </c>
      <c r="F25">
        <v>1</v>
      </c>
      <c r="G25" s="1"/>
      <c r="H25" s="1" t="s">
        <v>135</v>
      </c>
      <c r="I25" s="1" t="s">
        <v>28</v>
      </c>
      <c r="J25" s="1" t="s">
        <v>31</v>
      </c>
      <c r="K25">
        <v>24</v>
      </c>
    </row>
    <row r="26" spans="1:11" x14ac:dyDescent="0.25">
      <c r="A26" s="18" t="str">
        <f xml:space="preserve">  MapNameLkup</f>
        <v>m_ofs_trex_ar_invoices</v>
      </c>
      <c r="B26" s="1" t="s">
        <v>91</v>
      </c>
      <c r="C26" s="1" t="s">
        <v>87</v>
      </c>
      <c r="D26" s="1" t="s">
        <v>12</v>
      </c>
      <c r="E26" s="1" t="s">
        <v>106</v>
      </c>
      <c r="F26">
        <v>1</v>
      </c>
      <c r="G26" s="1"/>
      <c r="H26" s="1" t="s">
        <v>136</v>
      </c>
      <c r="I26" s="1" t="s">
        <v>28</v>
      </c>
      <c r="J26" s="1" t="s">
        <v>31</v>
      </c>
      <c r="K26">
        <v>25</v>
      </c>
    </row>
    <row r="27" spans="1:11" x14ac:dyDescent="0.25">
      <c r="A27" s="18" t="str">
        <f xml:space="preserve">  MapNameLkup</f>
        <v>m_ofs_trex_ar_invoices</v>
      </c>
      <c r="B27" s="1" t="s">
        <v>91</v>
      </c>
      <c r="C27" s="1" t="s">
        <v>87</v>
      </c>
      <c r="D27" s="1" t="s">
        <v>12</v>
      </c>
      <c r="E27" s="1" t="s">
        <v>106</v>
      </c>
      <c r="F27">
        <v>1</v>
      </c>
      <c r="G27" s="1"/>
      <c r="H27" s="1" t="s">
        <v>137</v>
      </c>
      <c r="I27" s="1" t="s">
        <v>28</v>
      </c>
      <c r="J27" s="1" t="s">
        <v>31</v>
      </c>
      <c r="K27">
        <v>26</v>
      </c>
    </row>
    <row r="28" spans="1:11" x14ac:dyDescent="0.25">
      <c r="A28" s="18" t="str">
        <f xml:space="preserve">  MapNameLkup</f>
        <v>m_ofs_trex_ar_invoices</v>
      </c>
      <c r="B28" s="1" t="s">
        <v>91</v>
      </c>
      <c r="C28" s="1" t="s">
        <v>87</v>
      </c>
      <c r="D28" s="1" t="s">
        <v>12</v>
      </c>
      <c r="E28" s="1" t="s">
        <v>106</v>
      </c>
      <c r="F28">
        <v>1</v>
      </c>
      <c r="G28" s="1"/>
      <c r="H28" s="1" t="s">
        <v>138</v>
      </c>
      <c r="I28" s="1" t="s">
        <v>28</v>
      </c>
      <c r="J28" s="1" t="s">
        <v>31</v>
      </c>
      <c r="K28">
        <v>27</v>
      </c>
    </row>
    <row r="29" spans="1:11" x14ac:dyDescent="0.25">
      <c r="A29" s="18" t="str">
        <f xml:space="preserve">  MapNameLkup</f>
        <v>m_ofs_trex_ar_invoices</v>
      </c>
      <c r="B29" s="1" t="s">
        <v>91</v>
      </c>
      <c r="C29" s="1" t="s">
        <v>87</v>
      </c>
      <c r="D29" s="1" t="s">
        <v>12</v>
      </c>
      <c r="E29" s="1" t="s">
        <v>106</v>
      </c>
      <c r="F29">
        <v>1</v>
      </c>
      <c r="G29" s="1"/>
      <c r="H29" s="1" t="s">
        <v>139</v>
      </c>
      <c r="I29" s="1" t="s">
        <v>28</v>
      </c>
      <c r="J29" s="1" t="s">
        <v>31</v>
      </c>
      <c r="K29">
        <v>28</v>
      </c>
    </row>
    <row r="30" spans="1:11" x14ac:dyDescent="0.25">
      <c r="A30" s="18" t="str">
        <f xml:space="preserve">  MapNameLkup</f>
        <v>m_ofs_trex_ar_invoices</v>
      </c>
      <c r="B30" s="1" t="s">
        <v>91</v>
      </c>
      <c r="C30" s="1" t="s">
        <v>87</v>
      </c>
      <c r="D30" s="1" t="s">
        <v>12</v>
      </c>
      <c r="E30" s="1" t="s">
        <v>106</v>
      </c>
      <c r="F30">
        <v>1</v>
      </c>
      <c r="G30" s="1"/>
      <c r="H30" s="1" t="s">
        <v>140</v>
      </c>
      <c r="I30" s="1" t="s">
        <v>28</v>
      </c>
      <c r="J30" s="1" t="s">
        <v>31</v>
      </c>
      <c r="K30">
        <v>29</v>
      </c>
    </row>
    <row r="31" spans="1:11" x14ac:dyDescent="0.25">
      <c r="A31" s="18" t="str">
        <f xml:space="preserve">  MapNameLkup</f>
        <v>m_ofs_trex_ar_invoices</v>
      </c>
      <c r="B31" s="1" t="s">
        <v>91</v>
      </c>
      <c r="C31" s="1" t="s">
        <v>87</v>
      </c>
      <c r="D31" s="1" t="s">
        <v>12</v>
      </c>
      <c r="E31" s="1" t="s">
        <v>106</v>
      </c>
      <c r="F31">
        <v>1</v>
      </c>
      <c r="G31" s="1"/>
      <c r="H31" s="1" t="s">
        <v>141</v>
      </c>
      <c r="I31" s="1" t="s">
        <v>28</v>
      </c>
      <c r="J31" s="1" t="s">
        <v>31</v>
      </c>
      <c r="K31">
        <v>30</v>
      </c>
    </row>
    <row r="32" spans="1:11" x14ac:dyDescent="0.25">
      <c r="A32" s="18" t="str">
        <f xml:space="preserve">  MapNameLkup</f>
        <v>m_ofs_trex_ar_invoices</v>
      </c>
      <c r="B32" s="1" t="s">
        <v>91</v>
      </c>
      <c r="C32" s="1" t="s">
        <v>87</v>
      </c>
      <c r="D32" s="1" t="s">
        <v>12</v>
      </c>
      <c r="E32" s="1" t="s">
        <v>106</v>
      </c>
      <c r="F32">
        <v>1</v>
      </c>
      <c r="G32" s="1"/>
      <c r="H32" s="1" t="s">
        <v>142</v>
      </c>
      <c r="I32" s="1" t="s">
        <v>28</v>
      </c>
      <c r="J32" s="1" t="s">
        <v>31</v>
      </c>
      <c r="K32">
        <v>31</v>
      </c>
    </row>
    <row r="33" spans="1:11" x14ac:dyDescent="0.25">
      <c r="A33" s="18" t="str">
        <f xml:space="preserve">  MapNameLkup</f>
        <v>m_ofs_trex_ar_invoices</v>
      </c>
      <c r="B33" s="1" t="s">
        <v>91</v>
      </c>
      <c r="C33" s="1" t="s">
        <v>87</v>
      </c>
      <c r="D33" s="1" t="s">
        <v>12</v>
      </c>
      <c r="E33" s="1" t="s">
        <v>106</v>
      </c>
      <c r="F33">
        <v>1</v>
      </c>
      <c r="G33" s="1"/>
      <c r="H33" s="1" t="s">
        <v>143</v>
      </c>
      <c r="I33" s="1" t="s">
        <v>28</v>
      </c>
      <c r="J33" s="1" t="s">
        <v>31</v>
      </c>
      <c r="K33">
        <v>32</v>
      </c>
    </row>
    <row r="34" spans="1:11" x14ac:dyDescent="0.25">
      <c r="A34" s="18" t="str">
        <f xml:space="preserve">  MapNameLkup</f>
        <v>m_ofs_trex_ar_invoices</v>
      </c>
      <c r="B34" s="1" t="s">
        <v>91</v>
      </c>
      <c r="C34" s="1" t="s">
        <v>87</v>
      </c>
      <c r="D34" s="1" t="s">
        <v>12</v>
      </c>
      <c r="E34" s="1" t="s">
        <v>106</v>
      </c>
      <c r="F34">
        <v>1</v>
      </c>
      <c r="G34" s="1"/>
      <c r="H34" s="1" t="s">
        <v>144</v>
      </c>
      <c r="I34" s="1" t="s">
        <v>28</v>
      </c>
      <c r="J34" s="1" t="s">
        <v>31</v>
      </c>
      <c r="K34">
        <v>33</v>
      </c>
    </row>
    <row r="35" spans="1:11" x14ac:dyDescent="0.25">
      <c r="A35" s="18" t="str">
        <f xml:space="preserve">  MapNameLkup</f>
        <v>m_ofs_trex_ar_invoices</v>
      </c>
      <c r="B35" s="1" t="s">
        <v>91</v>
      </c>
      <c r="C35" s="1" t="s">
        <v>87</v>
      </c>
      <c r="D35" s="1" t="s">
        <v>12</v>
      </c>
      <c r="E35" s="1" t="s">
        <v>106</v>
      </c>
      <c r="F35">
        <v>1</v>
      </c>
      <c r="G35" s="1"/>
      <c r="H35" s="1" t="s">
        <v>145</v>
      </c>
      <c r="I35" s="1" t="s">
        <v>28</v>
      </c>
      <c r="J35" s="1" t="s">
        <v>31</v>
      </c>
      <c r="K35">
        <v>34</v>
      </c>
    </row>
    <row r="36" spans="1:11" x14ac:dyDescent="0.25">
      <c r="A36" s="18" t="str">
        <f xml:space="preserve">  MapNameLkup</f>
        <v>m_ofs_trex_ar_invoices</v>
      </c>
      <c r="B36" s="1" t="s">
        <v>91</v>
      </c>
      <c r="C36" s="1" t="s">
        <v>87</v>
      </c>
      <c r="D36" s="1" t="s">
        <v>12</v>
      </c>
      <c r="E36" s="1" t="s">
        <v>106</v>
      </c>
      <c r="F36">
        <v>1</v>
      </c>
      <c r="G36" s="1"/>
      <c r="H36" s="1" t="s">
        <v>146</v>
      </c>
      <c r="I36" s="1" t="s">
        <v>28</v>
      </c>
      <c r="J36" s="1" t="s">
        <v>32</v>
      </c>
      <c r="K36">
        <v>35</v>
      </c>
    </row>
    <row r="37" spans="1:11" x14ac:dyDescent="0.25">
      <c r="A37" s="18" t="str">
        <f xml:space="preserve">  MapNameLkup</f>
        <v>m_ofs_trex_ar_invoices</v>
      </c>
      <c r="B37" s="1" t="s">
        <v>91</v>
      </c>
      <c r="C37" s="1" t="s">
        <v>87</v>
      </c>
      <c r="D37" s="1" t="s">
        <v>12</v>
      </c>
      <c r="E37" s="1" t="s">
        <v>106</v>
      </c>
      <c r="F37">
        <v>1</v>
      </c>
      <c r="G37" s="1"/>
      <c r="H37" s="1" t="s">
        <v>147</v>
      </c>
      <c r="I37" s="1" t="s">
        <v>28</v>
      </c>
      <c r="J37" s="1" t="s">
        <v>32</v>
      </c>
      <c r="K37">
        <v>36</v>
      </c>
    </row>
    <row r="38" spans="1:11" x14ac:dyDescent="0.25">
      <c r="A38" s="18" t="str">
        <f xml:space="preserve">  MapNameLkup</f>
        <v>m_ofs_trex_ar_invoices</v>
      </c>
      <c r="B38" s="1" t="s">
        <v>91</v>
      </c>
      <c r="C38" s="1" t="s">
        <v>87</v>
      </c>
      <c r="D38" s="1" t="s">
        <v>12</v>
      </c>
      <c r="E38" s="1" t="s">
        <v>106</v>
      </c>
      <c r="F38">
        <v>1</v>
      </c>
      <c r="G38" s="1"/>
      <c r="H38" s="1" t="s">
        <v>148</v>
      </c>
      <c r="I38" s="1" t="s">
        <v>28</v>
      </c>
      <c r="J38" s="1" t="s">
        <v>32</v>
      </c>
      <c r="K38">
        <v>37</v>
      </c>
    </row>
    <row r="39" spans="1:11" x14ac:dyDescent="0.25">
      <c r="A39" s="18" t="str">
        <f xml:space="preserve">  MapNameLkup</f>
        <v>m_ofs_trex_ar_invoices</v>
      </c>
      <c r="B39" s="1" t="s">
        <v>91</v>
      </c>
      <c r="C39" s="1" t="s">
        <v>87</v>
      </c>
      <c r="D39" s="1" t="s">
        <v>12</v>
      </c>
      <c r="E39" s="1" t="s">
        <v>106</v>
      </c>
      <c r="F39">
        <v>1</v>
      </c>
      <c r="G39" s="1"/>
      <c r="H39" s="1" t="s">
        <v>149</v>
      </c>
      <c r="I39" s="1" t="s">
        <v>28</v>
      </c>
      <c r="J39" s="1" t="s">
        <v>32</v>
      </c>
      <c r="K39">
        <v>38</v>
      </c>
    </row>
    <row r="40" spans="1:11" x14ac:dyDescent="0.25">
      <c r="A40" s="18" t="str">
        <f xml:space="preserve">  MapNameLkup</f>
        <v>m_ofs_trex_ar_invoices</v>
      </c>
      <c r="B40" s="1" t="s">
        <v>91</v>
      </c>
      <c r="C40" s="1" t="s">
        <v>87</v>
      </c>
      <c r="D40" s="1" t="s">
        <v>12</v>
      </c>
      <c r="E40" s="1" t="s">
        <v>106</v>
      </c>
      <c r="F40">
        <v>1</v>
      </c>
      <c r="G40" s="1"/>
      <c r="H40" s="1" t="s">
        <v>150</v>
      </c>
      <c r="I40" s="1" t="s">
        <v>28</v>
      </c>
      <c r="J40" s="1" t="s">
        <v>32</v>
      </c>
      <c r="K40">
        <v>39</v>
      </c>
    </row>
    <row r="41" spans="1:11" x14ac:dyDescent="0.25">
      <c r="A41" s="18" t="str">
        <f xml:space="preserve">  MapNameLkup</f>
        <v>m_ofs_trex_ar_invoices</v>
      </c>
      <c r="B41" s="1" t="s">
        <v>91</v>
      </c>
      <c r="C41" s="1" t="s">
        <v>87</v>
      </c>
      <c r="D41" s="1" t="s">
        <v>12</v>
      </c>
      <c r="E41" s="1" t="s">
        <v>106</v>
      </c>
      <c r="F41">
        <v>1</v>
      </c>
      <c r="G41" s="1"/>
      <c r="H41" s="1" t="s">
        <v>151</v>
      </c>
      <c r="I41" s="1" t="s">
        <v>28</v>
      </c>
      <c r="J41" s="1" t="s">
        <v>32</v>
      </c>
      <c r="K41">
        <v>40</v>
      </c>
    </row>
    <row r="42" spans="1:11" x14ac:dyDescent="0.25">
      <c r="A42" s="18" t="str">
        <f xml:space="preserve">  MapNameLkup</f>
        <v>m_ofs_trex_ar_invoices</v>
      </c>
      <c r="B42" s="1" t="s">
        <v>91</v>
      </c>
      <c r="C42" s="1" t="s">
        <v>87</v>
      </c>
      <c r="D42" s="1" t="s">
        <v>12</v>
      </c>
      <c r="E42" s="1" t="s">
        <v>106</v>
      </c>
      <c r="F42">
        <v>1</v>
      </c>
      <c r="G42" s="1"/>
      <c r="H42" s="1" t="s">
        <v>152</v>
      </c>
      <c r="I42" s="1" t="s">
        <v>28</v>
      </c>
      <c r="J42" s="1" t="s">
        <v>32</v>
      </c>
      <c r="K42">
        <v>41</v>
      </c>
    </row>
    <row r="43" spans="1:11" x14ac:dyDescent="0.25">
      <c r="A43" s="18" t="str">
        <f xml:space="preserve">  MapNameLkup</f>
        <v>m_ofs_trex_ar_invoices</v>
      </c>
      <c r="B43" s="1" t="s">
        <v>92</v>
      </c>
      <c r="C43" s="1" t="s">
        <v>105</v>
      </c>
      <c r="D43" s="1" t="s">
        <v>1</v>
      </c>
      <c r="E43" s="1" t="s">
        <v>107</v>
      </c>
      <c r="F43">
        <v>1</v>
      </c>
      <c r="G43" s="1"/>
      <c r="H43" s="1" t="s">
        <v>153</v>
      </c>
      <c r="I43" s="1" t="s">
        <v>28</v>
      </c>
      <c r="J43" s="1" t="s">
        <v>32</v>
      </c>
      <c r="K43">
        <v>1</v>
      </c>
    </row>
    <row r="44" spans="1:11" x14ac:dyDescent="0.25">
      <c r="A44" s="18" t="str">
        <f xml:space="preserve">  MapNameLkup</f>
        <v>m_ofs_trex_ar_invoices</v>
      </c>
      <c r="B44" s="1" t="s">
        <v>92</v>
      </c>
      <c r="C44" s="1" t="s">
        <v>105</v>
      </c>
      <c r="D44" s="1" t="s">
        <v>1</v>
      </c>
      <c r="E44" s="1" t="s">
        <v>107</v>
      </c>
      <c r="F44">
        <v>1</v>
      </c>
      <c r="G44" s="1"/>
      <c r="H44" s="1" t="s">
        <v>154</v>
      </c>
      <c r="I44" s="1" t="s">
        <v>28</v>
      </c>
      <c r="J44" s="1" t="s">
        <v>32</v>
      </c>
      <c r="K44">
        <v>2</v>
      </c>
    </row>
    <row r="45" spans="1:11" x14ac:dyDescent="0.25">
      <c r="A45" s="18" t="str">
        <f xml:space="preserve">  MapNameLkup</f>
        <v>m_ofs_trex_ar_invoices</v>
      </c>
      <c r="B45" s="1" t="s">
        <v>92</v>
      </c>
      <c r="C45" s="1" t="s">
        <v>105</v>
      </c>
      <c r="D45" s="1" t="s">
        <v>1</v>
      </c>
      <c r="E45" s="1" t="s">
        <v>107</v>
      </c>
      <c r="F45">
        <v>1</v>
      </c>
      <c r="G45" s="1"/>
      <c r="H45" s="1" t="s">
        <v>155</v>
      </c>
      <c r="I45" s="1" t="s">
        <v>28</v>
      </c>
      <c r="J45" s="1" t="s">
        <v>32</v>
      </c>
      <c r="K45">
        <v>3</v>
      </c>
    </row>
    <row r="46" spans="1:11" x14ac:dyDescent="0.25">
      <c r="A46" s="18" t="str">
        <f xml:space="preserve">  MapNameLkup</f>
        <v>m_ofs_trex_ar_invoices</v>
      </c>
      <c r="B46" s="1" t="s">
        <v>92</v>
      </c>
      <c r="C46" s="1" t="s">
        <v>105</v>
      </c>
      <c r="D46" s="1" t="s">
        <v>1</v>
      </c>
      <c r="E46" s="1" t="s">
        <v>107</v>
      </c>
      <c r="F46">
        <v>1</v>
      </c>
      <c r="G46" s="1"/>
      <c r="H46" s="1" t="s">
        <v>156</v>
      </c>
      <c r="I46" s="1" t="s">
        <v>28</v>
      </c>
      <c r="J46" s="1" t="s">
        <v>32</v>
      </c>
      <c r="K46">
        <v>4</v>
      </c>
    </row>
    <row r="47" spans="1:11" x14ac:dyDescent="0.25">
      <c r="A47" s="18" t="str">
        <f xml:space="preserve">  MapNameLkup</f>
        <v>m_ofs_trex_ar_invoices</v>
      </c>
      <c r="B47" s="1" t="s">
        <v>92</v>
      </c>
      <c r="C47" s="1" t="s">
        <v>105</v>
      </c>
      <c r="D47" s="1" t="s">
        <v>1</v>
      </c>
      <c r="E47" s="1" t="s">
        <v>107</v>
      </c>
      <c r="F47">
        <v>1</v>
      </c>
      <c r="G47" s="1"/>
      <c r="H47" s="1" t="s">
        <v>157</v>
      </c>
      <c r="I47" s="1" t="s">
        <v>28</v>
      </c>
      <c r="J47" s="1" t="s">
        <v>32</v>
      </c>
      <c r="K47">
        <v>5</v>
      </c>
    </row>
    <row r="48" spans="1:11" x14ac:dyDescent="0.25">
      <c r="A48" s="18" t="str">
        <f xml:space="preserve">  MapNameLkup</f>
        <v>m_ofs_trex_ar_invoices</v>
      </c>
      <c r="B48" s="1" t="s">
        <v>92</v>
      </c>
      <c r="C48" s="1" t="s">
        <v>105</v>
      </c>
      <c r="D48" s="1" t="s">
        <v>1</v>
      </c>
      <c r="E48" s="1" t="s">
        <v>107</v>
      </c>
      <c r="F48">
        <v>1</v>
      </c>
      <c r="G48" s="1"/>
      <c r="H48" s="1" t="s">
        <v>158</v>
      </c>
      <c r="I48" s="1" t="s">
        <v>28</v>
      </c>
      <c r="J48" s="1" t="s">
        <v>32</v>
      </c>
      <c r="K48">
        <v>6</v>
      </c>
    </row>
    <row r="49" spans="1:11" x14ac:dyDescent="0.25">
      <c r="A49" s="18" t="str">
        <f xml:space="preserve">  MapNameLkup</f>
        <v>m_ofs_trex_ar_invoices</v>
      </c>
      <c r="B49" s="1" t="s">
        <v>92</v>
      </c>
      <c r="C49" s="1" t="s">
        <v>105</v>
      </c>
      <c r="D49" s="1" t="s">
        <v>1</v>
      </c>
      <c r="E49" s="1" t="s">
        <v>107</v>
      </c>
      <c r="F49">
        <v>1</v>
      </c>
      <c r="G49" s="1"/>
      <c r="H49" s="1" t="s">
        <v>3</v>
      </c>
      <c r="I49" s="1" t="s">
        <v>28</v>
      </c>
      <c r="J49" s="1" t="s">
        <v>32</v>
      </c>
      <c r="K49">
        <v>7</v>
      </c>
    </row>
    <row r="50" spans="1:11" x14ac:dyDescent="0.25">
      <c r="A50" s="18" t="str">
        <f xml:space="preserve">  MapNameLkup</f>
        <v>m_ofs_trex_ar_invoices</v>
      </c>
      <c r="B50" s="1" t="s">
        <v>92</v>
      </c>
      <c r="C50" s="1" t="s">
        <v>105</v>
      </c>
      <c r="D50" s="1" t="s">
        <v>1</v>
      </c>
      <c r="E50" s="1" t="s">
        <v>107</v>
      </c>
      <c r="F50">
        <v>1</v>
      </c>
      <c r="G50" s="1"/>
      <c r="H50" s="1" t="s">
        <v>159</v>
      </c>
      <c r="I50" s="1" t="s">
        <v>28</v>
      </c>
      <c r="J50" s="1" t="s">
        <v>31</v>
      </c>
      <c r="K50">
        <v>8</v>
      </c>
    </row>
    <row r="51" spans="1:11" x14ac:dyDescent="0.25">
      <c r="A51" s="18" t="str">
        <f xml:space="preserve">  MapNameLkup</f>
        <v>m_ofs_trex_ar_invoices</v>
      </c>
      <c r="B51" s="1" t="s">
        <v>92</v>
      </c>
      <c r="C51" s="1" t="s">
        <v>105</v>
      </c>
      <c r="D51" s="1" t="s">
        <v>1</v>
      </c>
      <c r="E51" s="1" t="s">
        <v>107</v>
      </c>
      <c r="F51">
        <v>1</v>
      </c>
      <c r="G51" s="1"/>
      <c r="H51" s="1" t="s">
        <v>2</v>
      </c>
      <c r="I51" s="1" t="s">
        <v>28</v>
      </c>
      <c r="J51" s="1" t="s">
        <v>31</v>
      </c>
      <c r="K51">
        <v>9</v>
      </c>
    </row>
    <row r="52" spans="1:11" x14ac:dyDescent="0.25">
      <c r="A52" s="18" t="str">
        <f xml:space="preserve">  MapNameLkup</f>
        <v>m_ofs_trex_ar_invoices</v>
      </c>
      <c r="B52" s="1" t="s">
        <v>92</v>
      </c>
      <c r="C52" s="1" t="s">
        <v>105</v>
      </c>
      <c r="D52" s="1" t="s">
        <v>1</v>
      </c>
      <c r="E52" s="1" t="s">
        <v>107</v>
      </c>
      <c r="F52">
        <v>1</v>
      </c>
      <c r="G52" s="1"/>
      <c r="H52" s="1" t="s">
        <v>160</v>
      </c>
      <c r="I52" s="1" t="s">
        <v>28</v>
      </c>
      <c r="J52" s="1" t="s">
        <v>31</v>
      </c>
      <c r="K52">
        <v>10</v>
      </c>
    </row>
    <row r="53" spans="1:11" x14ac:dyDescent="0.25">
      <c r="A53" s="18" t="str">
        <f xml:space="preserve">  MapNameLkup</f>
        <v>m_ofs_trex_ar_invoices</v>
      </c>
      <c r="B53" s="1" t="s">
        <v>92</v>
      </c>
      <c r="C53" s="1" t="s">
        <v>105</v>
      </c>
      <c r="D53" s="1" t="s">
        <v>1</v>
      </c>
      <c r="E53" s="1" t="s">
        <v>107</v>
      </c>
      <c r="F53">
        <v>1</v>
      </c>
      <c r="G53" s="1"/>
      <c r="H53" s="1" t="s">
        <v>161</v>
      </c>
      <c r="I53" s="1" t="s">
        <v>28</v>
      </c>
      <c r="J53" s="1" t="s">
        <v>31</v>
      </c>
      <c r="K53">
        <v>11</v>
      </c>
    </row>
    <row r="54" spans="1:11" x14ac:dyDescent="0.25">
      <c r="A54" s="18" t="str">
        <f xml:space="preserve">  MapNameLkup</f>
        <v>m_ofs_trex_ar_invoices</v>
      </c>
      <c r="B54" s="1" t="s">
        <v>92</v>
      </c>
      <c r="C54" s="1" t="s">
        <v>105</v>
      </c>
      <c r="D54" s="1" t="s">
        <v>1</v>
      </c>
      <c r="E54" s="1" t="s">
        <v>107</v>
      </c>
      <c r="F54">
        <v>1</v>
      </c>
      <c r="G54" s="1"/>
      <c r="H54" s="1" t="s">
        <v>162</v>
      </c>
      <c r="I54" s="1" t="s">
        <v>28</v>
      </c>
      <c r="J54" s="1" t="s">
        <v>31</v>
      </c>
      <c r="K54">
        <v>12</v>
      </c>
    </row>
    <row r="55" spans="1:11" x14ac:dyDescent="0.25">
      <c r="A55" s="18" t="str">
        <f xml:space="preserve">  MapNameLkup</f>
        <v>m_ofs_trex_ar_invoices</v>
      </c>
      <c r="B55" s="1" t="s">
        <v>92</v>
      </c>
      <c r="C55" s="1" t="s">
        <v>105</v>
      </c>
      <c r="D55" s="1" t="s">
        <v>1</v>
      </c>
      <c r="E55" s="1" t="s">
        <v>107</v>
      </c>
      <c r="F55">
        <v>1</v>
      </c>
      <c r="G55" s="1"/>
      <c r="H55" s="1" t="s">
        <v>163</v>
      </c>
      <c r="I55" s="1" t="s">
        <v>28</v>
      </c>
      <c r="J55" s="1" t="s">
        <v>31</v>
      </c>
      <c r="K55">
        <v>13</v>
      </c>
    </row>
    <row r="56" spans="1:11" x14ac:dyDescent="0.25">
      <c r="A56" s="18" t="str">
        <f xml:space="preserve">  MapNameLkup</f>
        <v>m_ofs_trex_ar_invoices</v>
      </c>
      <c r="B56" s="1" t="s">
        <v>92</v>
      </c>
      <c r="C56" s="1" t="s">
        <v>105</v>
      </c>
      <c r="D56" s="1" t="s">
        <v>1</v>
      </c>
      <c r="E56" s="1" t="s">
        <v>107</v>
      </c>
      <c r="F56">
        <v>1</v>
      </c>
      <c r="G56" s="1"/>
      <c r="H56" s="1" t="s">
        <v>164</v>
      </c>
      <c r="I56" s="1" t="s">
        <v>28</v>
      </c>
      <c r="J56" s="1" t="s">
        <v>31</v>
      </c>
      <c r="K56">
        <v>14</v>
      </c>
    </row>
    <row r="57" spans="1:11" x14ac:dyDescent="0.25">
      <c r="A57" s="18" t="str">
        <f xml:space="preserve">  MapNameLkup</f>
        <v>m_ofs_trex_ar_invoices</v>
      </c>
      <c r="B57" s="1" t="s">
        <v>92</v>
      </c>
      <c r="C57" s="1" t="s">
        <v>105</v>
      </c>
      <c r="D57" s="1" t="s">
        <v>1</v>
      </c>
      <c r="E57" s="1" t="s">
        <v>107</v>
      </c>
      <c r="F57">
        <v>1</v>
      </c>
      <c r="G57" s="1"/>
      <c r="H57" s="1" t="s">
        <v>165</v>
      </c>
      <c r="I57" s="1" t="s">
        <v>28</v>
      </c>
      <c r="J57" s="1" t="s">
        <v>31</v>
      </c>
      <c r="K57">
        <v>15</v>
      </c>
    </row>
    <row r="58" spans="1:11" x14ac:dyDescent="0.25">
      <c r="A58" s="18" t="str">
        <f xml:space="preserve">  MapNameLkup</f>
        <v>m_ofs_trex_ar_invoices</v>
      </c>
      <c r="B58" s="1" t="s">
        <v>92</v>
      </c>
      <c r="C58" s="1" t="s">
        <v>105</v>
      </c>
      <c r="D58" s="1" t="s">
        <v>1</v>
      </c>
      <c r="E58" s="1" t="s">
        <v>107</v>
      </c>
      <c r="F58">
        <v>1</v>
      </c>
      <c r="G58" s="1"/>
      <c r="H58" s="1" t="s">
        <v>166</v>
      </c>
      <c r="I58" s="1" t="s">
        <v>28</v>
      </c>
      <c r="J58" s="1" t="s">
        <v>31</v>
      </c>
      <c r="K58">
        <v>16</v>
      </c>
    </row>
    <row r="59" spans="1:11" x14ac:dyDescent="0.25">
      <c r="A59" s="18" t="str">
        <f xml:space="preserve">  MapNameLkup</f>
        <v>m_ofs_trex_ar_invoices</v>
      </c>
      <c r="B59" s="1" t="s">
        <v>92</v>
      </c>
      <c r="C59" s="1" t="s">
        <v>105</v>
      </c>
      <c r="D59" s="1" t="s">
        <v>1</v>
      </c>
      <c r="E59" s="1" t="s">
        <v>107</v>
      </c>
      <c r="F59">
        <v>1</v>
      </c>
      <c r="G59" s="1"/>
      <c r="H59" s="1" t="s">
        <v>167</v>
      </c>
      <c r="I59" s="1" t="s">
        <v>28</v>
      </c>
      <c r="J59" s="1" t="s">
        <v>31</v>
      </c>
      <c r="K59">
        <v>17</v>
      </c>
    </row>
    <row r="60" spans="1:11" x14ac:dyDescent="0.25">
      <c r="A60" s="18" t="str">
        <f xml:space="preserve">  MapNameLkup</f>
        <v>m_ofs_trex_ar_invoices</v>
      </c>
      <c r="B60" s="1" t="s">
        <v>92</v>
      </c>
      <c r="C60" s="1" t="s">
        <v>105</v>
      </c>
      <c r="D60" s="1" t="s">
        <v>1</v>
      </c>
      <c r="E60" s="1" t="s">
        <v>107</v>
      </c>
      <c r="F60">
        <v>1</v>
      </c>
      <c r="G60" s="1"/>
      <c r="H60" s="1" t="s">
        <v>168</v>
      </c>
      <c r="I60" s="1" t="s">
        <v>28</v>
      </c>
      <c r="J60" s="1" t="s">
        <v>31</v>
      </c>
      <c r="K60">
        <v>18</v>
      </c>
    </row>
    <row r="61" spans="1:11" x14ac:dyDescent="0.25">
      <c r="A61" s="18" t="str">
        <f xml:space="preserve">  MapNameLkup</f>
        <v>m_ofs_trex_ar_invoices</v>
      </c>
      <c r="B61" s="1" t="s">
        <v>92</v>
      </c>
      <c r="C61" s="1" t="s">
        <v>105</v>
      </c>
      <c r="D61" s="1" t="s">
        <v>1</v>
      </c>
      <c r="E61" s="1" t="s">
        <v>107</v>
      </c>
      <c r="F61">
        <v>1</v>
      </c>
      <c r="G61" s="1"/>
      <c r="H61" s="1" t="s">
        <v>169</v>
      </c>
      <c r="I61" s="1" t="s">
        <v>28</v>
      </c>
      <c r="J61" s="1" t="s">
        <v>31</v>
      </c>
      <c r="K61">
        <v>19</v>
      </c>
    </row>
    <row r="62" spans="1:11" x14ac:dyDescent="0.25">
      <c r="A62" s="18" t="str">
        <f xml:space="preserve">  MapNameLkup</f>
        <v>m_ofs_trex_ar_invoices</v>
      </c>
      <c r="B62" s="1" t="s">
        <v>92</v>
      </c>
      <c r="C62" s="1" t="s">
        <v>105</v>
      </c>
      <c r="D62" s="1" t="s">
        <v>1</v>
      </c>
      <c r="E62" s="1" t="s">
        <v>107</v>
      </c>
      <c r="F62">
        <v>1</v>
      </c>
      <c r="G62" s="1"/>
      <c r="H62" s="1" t="s">
        <v>170</v>
      </c>
      <c r="I62" s="1" t="s">
        <v>28</v>
      </c>
      <c r="J62" s="1" t="s">
        <v>31</v>
      </c>
      <c r="K62">
        <v>20</v>
      </c>
    </row>
    <row r="63" spans="1:11" x14ac:dyDescent="0.25">
      <c r="A63" s="18" t="str">
        <f xml:space="preserve">  MapNameLkup</f>
        <v>m_ofs_trex_ar_invoices</v>
      </c>
      <c r="B63" s="1" t="s">
        <v>92</v>
      </c>
      <c r="C63" s="1" t="s">
        <v>105</v>
      </c>
      <c r="D63" s="1" t="s">
        <v>1</v>
      </c>
      <c r="E63" s="1" t="s">
        <v>107</v>
      </c>
      <c r="F63">
        <v>1</v>
      </c>
      <c r="G63" s="1"/>
      <c r="H63" s="1" t="s">
        <v>171</v>
      </c>
      <c r="I63" s="1" t="s">
        <v>28</v>
      </c>
      <c r="J63" s="1" t="s">
        <v>31</v>
      </c>
      <c r="K63">
        <v>21</v>
      </c>
    </row>
    <row r="64" spans="1:11" x14ac:dyDescent="0.25">
      <c r="A64" s="18" t="str">
        <f xml:space="preserve">  MapNameLkup</f>
        <v>m_ofs_trex_ar_invoices</v>
      </c>
      <c r="B64" s="1" t="s">
        <v>92</v>
      </c>
      <c r="C64" s="1" t="s">
        <v>105</v>
      </c>
      <c r="D64" s="1" t="s">
        <v>1</v>
      </c>
      <c r="E64" s="1" t="s">
        <v>107</v>
      </c>
      <c r="F64">
        <v>1</v>
      </c>
      <c r="G64" s="1"/>
      <c r="H64" s="1" t="s">
        <v>172</v>
      </c>
      <c r="I64" s="1" t="s">
        <v>28</v>
      </c>
      <c r="J64" s="1" t="s">
        <v>31</v>
      </c>
      <c r="K64">
        <v>22</v>
      </c>
    </row>
    <row r="65" spans="1:11" x14ac:dyDescent="0.25">
      <c r="A65" s="18" t="str">
        <f xml:space="preserve">  MapNameLkup</f>
        <v>m_ofs_trex_ar_invoices</v>
      </c>
      <c r="B65" s="1" t="s">
        <v>92</v>
      </c>
      <c r="C65" s="1" t="s">
        <v>105</v>
      </c>
      <c r="D65" s="1" t="s">
        <v>1</v>
      </c>
      <c r="E65" s="1" t="s">
        <v>107</v>
      </c>
      <c r="F65">
        <v>1</v>
      </c>
      <c r="G65" s="1"/>
      <c r="H65" s="1" t="s">
        <v>173</v>
      </c>
      <c r="I65" s="1" t="s">
        <v>28</v>
      </c>
      <c r="J65" s="1" t="s">
        <v>31</v>
      </c>
      <c r="K65">
        <v>23</v>
      </c>
    </row>
    <row r="66" spans="1:11" x14ac:dyDescent="0.25">
      <c r="A66" s="18" t="str">
        <f xml:space="preserve">  MapNameLkup</f>
        <v>m_ofs_trex_ar_invoices</v>
      </c>
      <c r="B66" s="1" t="s">
        <v>92</v>
      </c>
      <c r="C66" s="1" t="s">
        <v>105</v>
      </c>
      <c r="D66" s="1" t="s">
        <v>1</v>
      </c>
      <c r="E66" s="1" t="s">
        <v>107</v>
      </c>
      <c r="F66">
        <v>1</v>
      </c>
      <c r="G66" s="1"/>
      <c r="H66" s="1" t="s">
        <v>174</v>
      </c>
      <c r="I66" s="1" t="s">
        <v>28</v>
      </c>
      <c r="J66" s="1" t="s">
        <v>31</v>
      </c>
      <c r="K66">
        <v>24</v>
      </c>
    </row>
    <row r="67" spans="1:11" x14ac:dyDescent="0.25">
      <c r="A67" s="18" t="str">
        <f xml:space="preserve">  MapNameLkup</f>
        <v>m_ofs_trex_ar_invoices</v>
      </c>
      <c r="B67" s="1" t="s">
        <v>92</v>
      </c>
      <c r="C67" s="1" t="s">
        <v>105</v>
      </c>
      <c r="D67" s="1" t="s">
        <v>1</v>
      </c>
      <c r="E67" s="1" t="s">
        <v>107</v>
      </c>
      <c r="F67">
        <v>1</v>
      </c>
      <c r="G67" s="1"/>
      <c r="H67" s="1" t="s">
        <v>175</v>
      </c>
      <c r="I67" s="1" t="s">
        <v>28</v>
      </c>
      <c r="J67" s="1" t="s">
        <v>31</v>
      </c>
      <c r="K67">
        <v>25</v>
      </c>
    </row>
    <row r="68" spans="1:11" x14ac:dyDescent="0.25">
      <c r="A68" s="18" t="str">
        <f xml:space="preserve">  MapNameLkup</f>
        <v>m_ofs_trex_ar_invoices</v>
      </c>
      <c r="B68" s="1" t="s">
        <v>92</v>
      </c>
      <c r="C68" s="1" t="s">
        <v>105</v>
      </c>
      <c r="D68" s="1" t="s">
        <v>1</v>
      </c>
      <c r="E68" s="1" t="s">
        <v>107</v>
      </c>
      <c r="F68">
        <v>1</v>
      </c>
      <c r="G68" s="1"/>
      <c r="H68" s="1" t="s">
        <v>176</v>
      </c>
      <c r="I68" s="1" t="s">
        <v>28</v>
      </c>
      <c r="J68" s="1" t="s">
        <v>31</v>
      </c>
      <c r="K68">
        <v>26</v>
      </c>
    </row>
    <row r="69" spans="1:11" x14ac:dyDescent="0.25">
      <c r="A69" s="18" t="str">
        <f xml:space="preserve">  MapNameLkup</f>
        <v>m_ofs_trex_ar_invoices</v>
      </c>
      <c r="B69" s="1" t="s">
        <v>92</v>
      </c>
      <c r="C69" s="1" t="s">
        <v>105</v>
      </c>
      <c r="D69" s="1" t="s">
        <v>1</v>
      </c>
      <c r="E69" s="1" t="s">
        <v>107</v>
      </c>
      <c r="F69">
        <v>1</v>
      </c>
      <c r="G69" s="1"/>
      <c r="H69" s="1" t="s">
        <v>177</v>
      </c>
      <c r="I69" s="1" t="s">
        <v>28</v>
      </c>
      <c r="J69" s="1" t="s">
        <v>31</v>
      </c>
      <c r="K69">
        <v>27</v>
      </c>
    </row>
    <row r="70" spans="1:11" x14ac:dyDescent="0.25">
      <c r="A70" s="18" t="str">
        <f xml:space="preserve">  MapNameLkup</f>
        <v>m_ofs_trex_ar_invoices</v>
      </c>
      <c r="B70" s="1" t="s">
        <v>92</v>
      </c>
      <c r="C70" s="1" t="s">
        <v>105</v>
      </c>
      <c r="D70" s="1" t="s">
        <v>1</v>
      </c>
      <c r="E70" s="1" t="s">
        <v>107</v>
      </c>
      <c r="F70">
        <v>1</v>
      </c>
      <c r="G70" s="1"/>
      <c r="H70" s="1" t="s">
        <v>178</v>
      </c>
      <c r="I70" s="1" t="s">
        <v>28</v>
      </c>
      <c r="J70" s="1" t="s">
        <v>31</v>
      </c>
      <c r="K70">
        <v>28</v>
      </c>
    </row>
    <row r="71" spans="1:11" x14ac:dyDescent="0.25">
      <c r="A71" s="18" t="str">
        <f xml:space="preserve">  MapNameLkup</f>
        <v>m_ofs_trex_ar_invoices</v>
      </c>
      <c r="B71" s="1" t="s">
        <v>92</v>
      </c>
      <c r="C71" s="1" t="s">
        <v>105</v>
      </c>
      <c r="D71" s="1" t="s">
        <v>1</v>
      </c>
      <c r="E71" s="1" t="s">
        <v>107</v>
      </c>
      <c r="F71">
        <v>1</v>
      </c>
      <c r="G71" s="1"/>
      <c r="H71" s="1" t="s">
        <v>179</v>
      </c>
      <c r="I71" s="1" t="s">
        <v>28</v>
      </c>
      <c r="J71" s="1" t="s">
        <v>32</v>
      </c>
      <c r="K71">
        <v>29</v>
      </c>
    </row>
    <row r="72" spans="1:11" x14ac:dyDescent="0.25">
      <c r="A72" s="18" t="str">
        <f xml:space="preserve">  MapNameLkup</f>
        <v>m_ofs_trex_ar_invoices</v>
      </c>
      <c r="B72" s="1" t="s">
        <v>92</v>
      </c>
      <c r="C72" s="1" t="s">
        <v>105</v>
      </c>
      <c r="D72" s="1" t="s">
        <v>1</v>
      </c>
      <c r="E72" s="1" t="s">
        <v>107</v>
      </c>
      <c r="F72">
        <v>1</v>
      </c>
      <c r="G72" s="1"/>
      <c r="H72" s="1" t="s">
        <v>180</v>
      </c>
      <c r="I72" s="1" t="s">
        <v>28</v>
      </c>
      <c r="J72" s="1" t="s">
        <v>31</v>
      </c>
      <c r="K72">
        <v>30</v>
      </c>
    </row>
    <row r="73" spans="1:11" x14ac:dyDescent="0.25">
      <c r="A73" s="18" t="str">
        <f xml:space="preserve">  MapNameLkup</f>
        <v>m_ofs_trex_ar_invoices</v>
      </c>
      <c r="B73" s="1" t="s">
        <v>92</v>
      </c>
      <c r="C73" s="1" t="s">
        <v>105</v>
      </c>
      <c r="D73" s="1" t="s">
        <v>1</v>
      </c>
      <c r="E73" s="1" t="s">
        <v>107</v>
      </c>
      <c r="F73">
        <v>1</v>
      </c>
      <c r="G73" s="1"/>
      <c r="H73" s="1" t="s">
        <v>181</v>
      </c>
      <c r="I73" s="1" t="s">
        <v>28</v>
      </c>
      <c r="J73" s="1" t="s">
        <v>31</v>
      </c>
      <c r="K73">
        <v>31</v>
      </c>
    </row>
    <row r="74" spans="1:11" x14ac:dyDescent="0.25">
      <c r="A74" s="18" t="str">
        <f xml:space="preserve">  MapNameLkup</f>
        <v>m_ofs_trex_ar_invoices</v>
      </c>
      <c r="B74" s="1" t="s">
        <v>92</v>
      </c>
      <c r="C74" s="1" t="s">
        <v>105</v>
      </c>
      <c r="D74" s="1" t="s">
        <v>1</v>
      </c>
      <c r="E74" s="1" t="s">
        <v>107</v>
      </c>
      <c r="F74">
        <v>1</v>
      </c>
      <c r="G74" s="1"/>
      <c r="H74" s="1" t="s">
        <v>182</v>
      </c>
      <c r="I74" s="1" t="s">
        <v>28</v>
      </c>
      <c r="J74" s="1" t="s">
        <v>31</v>
      </c>
      <c r="K74">
        <v>32</v>
      </c>
    </row>
    <row r="75" spans="1:11" x14ac:dyDescent="0.25">
      <c r="A75" s="18" t="str">
        <f xml:space="preserve">  MapNameLkup</f>
        <v>m_ofs_trex_ar_invoices</v>
      </c>
      <c r="B75" s="1" t="s">
        <v>92</v>
      </c>
      <c r="C75" s="1" t="s">
        <v>105</v>
      </c>
      <c r="D75" s="1" t="s">
        <v>1</v>
      </c>
      <c r="E75" s="1" t="s">
        <v>107</v>
      </c>
      <c r="F75">
        <v>1</v>
      </c>
      <c r="G75" s="1"/>
      <c r="H75" s="1" t="s">
        <v>183</v>
      </c>
      <c r="I75" s="1" t="s">
        <v>28</v>
      </c>
      <c r="J75" s="1" t="s">
        <v>31</v>
      </c>
      <c r="K75">
        <v>33</v>
      </c>
    </row>
    <row r="76" spans="1:11" x14ac:dyDescent="0.25">
      <c r="A76" s="18" t="str">
        <f xml:space="preserve">  MapNameLkup</f>
        <v>m_ofs_trex_ar_invoices</v>
      </c>
      <c r="B76" s="1" t="s">
        <v>92</v>
      </c>
      <c r="C76" s="1" t="s">
        <v>105</v>
      </c>
      <c r="D76" s="1" t="s">
        <v>1</v>
      </c>
      <c r="E76" s="1" t="s">
        <v>107</v>
      </c>
      <c r="F76">
        <v>1</v>
      </c>
      <c r="G76" s="1"/>
      <c r="H76" s="1" t="s">
        <v>184</v>
      </c>
      <c r="I76" s="1" t="s">
        <v>28</v>
      </c>
      <c r="J76" s="1" t="s">
        <v>31</v>
      </c>
      <c r="K76">
        <v>34</v>
      </c>
    </row>
    <row r="77" spans="1:11" x14ac:dyDescent="0.25">
      <c r="A77" s="18" t="str">
        <f xml:space="preserve">  MapNameLkup</f>
        <v>m_ofs_trex_ar_invoices</v>
      </c>
      <c r="B77" s="1" t="s">
        <v>92</v>
      </c>
      <c r="C77" s="1" t="s">
        <v>105</v>
      </c>
      <c r="D77" s="1" t="s">
        <v>1</v>
      </c>
      <c r="E77" s="1" t="s">
        <v>107</v>
      </c>
      <c r="F77">
        <v>1</v>
      </c>
      <c r="G77" s="1"/>
      <c r="H77" s="1" t="s">
        <v>185</v>
      </c>
      <c r="I77" s="1" t="s">
        <v>28</v>
      </c>
      <c r="J77" s="1" t="s">
        <v>31</v>
      </c>
      <c r="K77">
        <v>35</v>
      </c>
    </row>
    <row r="78" spans="1:11" x14ac:dyDescent="0.25">
      <c r="A78" s="18" t="str">
        <f xml:space="preserve">  MapNameLkup</f>
        <v>m_ofs_trex_ar_invoices</v>
      </c>
      <c r="B78" s="1" t="s">
        <v>92</v>
      </c>
      <c r="C78" s="1" t="s">
        <v>105</v>
      </c>
      <c r="D78" s="1" t="s">
        <v>1</v>
      </c>
      <c r="E78" s="1" t="s">
        <v>107</v>
      </c>
      <c r="F78">
        <v>1</v>
      </c>
      <c r="G78" s="1"/>
      <c r="H78" s="1" t="s">
        <v>186</v>
      </c>
      <c r="I78" s="1" t="s">
        <v>28</v>
      </c>
      <c r="J78" s="1" t="s">
        <v>31</v>
      </c>
      <c r="K78">
        <v>36</v>
      </c>
    </row>
    <row r="79" spans="1:11" x14ac:dyDescent="0.25">
      <c r="A79" s="18" t="str">
        <f xml:space="preserve">  MapNameLkup</f>
        <v>m_ofs_trex_ar_invoices</v>
      </c>
      <c r="B79" s="1" t="s">
        <v>92</v>
      </c>
      <c r="C79" s="1" t="s">
        <v>105</v>
      </c>
      <c r="D79" s="1" t="s">
        <v>1</v>
      </c>
      <c r="E79" s="1" t="s">
        <v>107</v>
      </c>
      <c r="F79">
        <v>1</v>
      </c>
      <c r="G79" s="1"/>
      <c r="H79" s="1" t="s">
        <v>187</v>
      </c>
      <c r="I79" s="1" t="s">
        <v>28</v>
      </c>
      <c r="J79" s="1" t="s">
        <v>31</v>
      </c>
      <c r="K79">
        <v>37</v>
      </c>
    </row>
    <row r="80" spans="1:11" x14ac:dyDescent="0.25">
      <c r="A80" s="18" t="str">
        <f xml:space="preserve">  MapNameLkup</f>
        <v>m_ofs_trex_ar_invoices</v>
      </c>
      <c r="B80" s="1" t="s">
        <v>92</v>
      </c>
      <c r="C80" s="1" t="s">
        <v>105</v>
      </c>
      <c r="D80" s="1" t="s">
        <v>1</v>
      </c>
      <c r="E80" s="1" t="s">
        <v>107</v>
      </c>
      <c r="F80">
        <v>1</v>
      </c>
      <c r="G80" s="1"/>
      <c r="H80" s="1" t="s">
        <v>188</v>
      </c>
      <c r="I80" s="1" t="s">
        <v>28</v>
      </c>
      <c r="J80" s="1" t="s">
        <v>31</v>
      </c>
      <c r="K80">
        <v>38</v>
      </c>
    </row>
    <row r="81" spans="1:11" x14ac:dyDescent="0.25">
      <c r="A81" s="18" t="str">
        <f xml:space="preserve">  MapNameLkup</f>
        <v>m_ofs_trex_ar_invoices</v>
      </c>
      <c r="B81" s="1" t="s">
        <v>92</v>
      </c>
      <c r="C81" s="1" t="s">
        <v>105</v>
      </c>
      <c r="D81" s="1" t="s">
        <v>1</v>
      </c>
      <c r="E81" s="1" t="s">
        <v>107</v>
      </c>
      <c r="F81">
        <v>1</v>
      </c>
      <c r="G81" s="1"/>
      <c r="H81" s="1" t="s">
        <v>189</v>
      </c>
      <c r="I81" s="1" t="s">
        <v>28</v>
      </c>
      <c r="J81" s="1" t="s">
        <v>31</v>
      </c>
      <c r="K81">
        <v>39</v>
      </c>
    </row>
    <row r="82" spans="1:11" x14ac:dyDescent="0.25">
      <c r="A82" s="18" t="str">
        <f xml:space="preserve">  MapNameLkup</f>
        <v>m_ofs_trex_ar_invoices</v>
      </c>
      <c r="B82" s="1" t="s">
        <v>92</v>
      </c>
      <c r="C82" s="1" t="s">
        <v>105</v>
      </c>
      <c r="D82" s="1" t="s">
        <v>1</v>
      </c>
      <c r="E82" s="1" t="s">
        <v>107</v>
      </c>
      <c r="F82">
        <v>1</v>
      </c>
      <c r="G82" s="1"/>
      <c r="H82" s="1" t="s">
        <v>190</v>
      </c>
      <c r="I82" s="1" t="s">
        <v>28</v>
      </c>
      <c r="J82" s="1" t="s">
        <v>31</v>
      </c>
      <c r="K82">
        <v>40</v>
      </c>
    </row>
    <row r="83" spans="1:11" x14ac:dyDescent="0.25">
      <c r="A83" s="18" t="str">
        <f xml:space="preserve">  MapNameLkup</f>
        <v>m_ofs_trex_ar_invoices</v>
      </c>
      <c r="B83" s="1" t="s">
        <v>92</v>
      </c>
      <c r="C83" s="1" t="s">
        <v>105</v>
      </c>
      <c r="D83" s="1" t="s">
        <v>1</v>
      </c>
      <c r="E83" s="1" t="s">
        <v>107</v>
      </c>
      <c r="F83">
        <v>1</v>
      </c>
      <c r="G83" s="1"/>
      <c r="H83" s="1" t="s">
        <v>191</v>
      </c>
      <c r="I83" s="1" t="s">
        <v>28</v>
      </c>
      <c r="J83" s="1" t="s">
        <v>31</v>
      </c>
      <c r="K83">
        <v>41</v>
      </c>
    </row>
    <row r="84" spans="1:11" x14ac:dyDescent="0.25">
      <c r="A84" s="18" t="str">
        <f xml:space="preserve">  MapNameLkup</f>
        <v>m_ofs_trex_ar_invoices</v>
      </c>
      <c r="B84" s="1" t="s">
        <v>92</v>
      </c>
      <c r="C84" s="1" t="s">
        <v>105</v>
      </c>
      <c r="D84" s="1" t="s">
        <v>1</v>
      </c>
      <c r="E84" s="1" t="s">
        <v>107</v>
      </c>
      <c r="F84">
        <v>1</v>
      </c>
      <c r="G84" s="1"/>
      <c r="H84" s="1" t="s">
        <v>192</v>
      </c>
      <c r="I84" s="1" t="s">
        <v>28</v>
      </c>
      <c r="J84" s="1" t="s">
        <v>31</v>
      </c>
      <c r="K84">
        <v>42</v>
      </c>
    </row>
    <row r="85" spans="1:11" x14ac:dyDescent="0.25">
      <c r="A85" s="18" t="str">
        <f xml:space="preserve">  MapNameLkup</f>
        <v>m_ofs_trex_ar_invoices</v>
      </c>
      <c r="B85" s="1" t="s">
        <v>92</v>
      </c>
      <c r="C85" s="1" t="s">
        <v>105</v>
      </c>
      <c r="D85" s="1" t="s">
        <v>1</v>
      </c>
      <c r="E85" s="1" t="s">
        <v>107</v>
      </c>
      <c r="F85">
        <v>1</v>
      </c>
      <c r="G85" s="1"/>
      <c r="H85" s="1" t="s">
        <v>193</v>
      </c>
      <c r="I85" s="1" t="s">
        <v>28</v>
      </c>
      <c r="J85" s="1" t="s">
        <v>31</v>
      </c>
      <c r="K85">
        <v>43</v>
      </c>
    </row>
    <row r="86" spans="1:11" x14ac:dyDescent="0.25">
      <c r="A86" s="18" t="str">
        <f xml:space="preserve">  MapNameLkup</f>
        <v>m_ofs_trex_ar_invoices</v>
      </c>
      <c r="B86" s="1" t="s">
        <v>92</v>
      </c>
      <c r="C86" s="1" t="s">
        <v>105</v>
      </c>
      <c r="D86" s="1" t="s">
        <v>1</v>
      </c>
      <c r="E86" s="1" t="s">
        <v>107</v>
      </c>
      <c r="F86">
        <v>1</v>
      </c>
      <c r="G86" s="1"/>
      <c r="H86" s="1" t="s">
        <v>194</v>
      </c>
      <c r="I86" s="1" t="s">
        <v>28</v>
      </c>
      <c r="J86" s="1" t="s">
        <v>31</v>
      </c>
      <c r="K86">
        <v>44</v>
      </c>
    </row>
    <row r="87" spans="1:11" x14ac:dyDescent="0.25">
      <c r="A87" s="18" t="str">
        <f xml:space="preserve">  MapNameLkup</f>
        <v>m_ofs_trex_ar_invoices</v>
      </c>
      <c r="B87" s="1" t="s">
        <v>92</v>
      </c>
      <c r="C87" s="1" t="s">
        <v>105</v>
      </c>
      <c r="D87" s="1" t="s">
        <v>1</v>
      </c>
      <c r="E87" s="1" t="s">
        <v>107</v>
      </c>
      <c r="F87">
        <v>1</v>
      </c>
      <c r="G87" s="1"/>
      <c r="H87" s="1" t="s">
        <v>195</v>
      </c>
      <c r="I87" s="1" t="s">
        <v>28</v>
      </c>
      <c r="J87" s="1" t="s">
        <v>31</v>
      </c>
      <c r="K87">
        <v>45</v>
      </c>
    </row>
    <row r="88" spans="1:11" x14ac:dyDescent="0.25">
      <c r="A88" s="18" t="str">
        <f xml:space="preserve">  MapNameLkup</f>
        <v>m_ofs_trex_ar_invoices</v>
      </c>
      <c r="B88" s="1" t="s">
        <v>92</v>
      </c>
      <c r="C88" s="1" t="s">
        <v>105</v>
      </c>
      <c r="D88" s="1" t="s">
        <v>1</v>
      </c>
      <c r="E88" s="1" t="s">
        <v>107</v>
      </c>
      <c r="F88">
        <v>1</v>
      </c>
      <c r="G88" s="1"/>
      <c r="H88" s="1" t="s">
        <v>196</v>
      </c>
      <c r="I88" s="1" t="s">
        <v>28</v>
      </c>
      <c r="J88" s="1" t="s">
        <v>31</v>
      </c>
      <c r="K88">
        <v>46</v>
      </c>
    </row>
    <row r="89" spans="1:11" x14ac:dyDescent="0.25">
      <c r="A89" s="18" t="str">
        <f xml:space="preserve">  MapNameLkup</f>
        <v>m_ofs_trex_ar_invoices</v>
      </c>
      <c r="B89" s="1" t="s">
        <v>92</v>
      </c>
      <c r="C89" s="1" t="s">
        <v>105</v>
      </c>
      <c r="D89" s="1" t="s">
        <v>1</v>
      </c>
      <c r="E89" s="1" t="s">
        <v>107</v>
      </c>
      <c r="F89">
        <v>1</v>
      </c>
      <c r="G89" s="1"/>
      <c r="H89" s="1" t="s">
        <v>197</v>
      </c>
      <c r="I89" s="1" t="s">
        <v>28</v>
      </c>
      <c r="J89" s="1" t="s">
        <v>31</v>
      </c>
      <c r="K89">
        <v>47</v>
      </c>
    </row>
    <row r="90" spans="1:11" x14ac:dyDescent="0.25">
      <c r="A90" s="18" t="str">
        <f xml:space="preserve">  MapNameLkup</f>
        <v>m_ofs_trex_ar_invoices</v>
      </c>
      <c r="B90" s="1" t="s">
        <v>92</v>
      </c>
      <c r="C90" s="1" t="s">
        <v>105</v>
      </c>
      <c r="D90" s="1" t="s">
        <v>1</v>
      </c>
      <c r="E90" s="1" t="s">
        <v>107</v>
      </c>
      <c r="F90">
        <v>1</v>
      </c>
      <c r="G90" s="1"/>
      <c r="H90" s="1" t="s">
        <v>198</v>
      </c>
      <c r="I90" s="1" t="s">
        <v>28</v>
      </c>
      <c r="J90" s="1" t="s">
        <v>31</v>
      </c>
      <c r="K90">
        <v>48</v>
      </c>
    </row>
    <row r="91" spans="1:11" x14ac:dyDescent="0.25">
      <c r="A91" s="18" t="str">
        <f xml:space="preserve">  MapNameLkup</f>
        <v>m_ofs_trex_ar_invoices</v>
      </c>
      <c r="B91" s="1" t="s">
        <v>92</v>
      </c>
      <c r="C91" s="1" t="s">
        <v>105</v>
      </c>
      <c r="D91" s="1" t="s">
        <v>1</v>
      </c>
      <c r="E91" s="1" t="s">
        <v>107</v>
      </c>
      <c r="F91">
        <v>1</v>
      </c>
      <c r="G91" s="1"/>
      <c r="H91" s="1" t="s">
        <v>199</v>
      </c>
      <c r="I91" s="1" t="s">
        <v>28</v>
      </c>
      <c r="J91" s="1" t="s">
        <v>31</v>
      </c>
      <c r="K91">
        <v>49</v>
      </c>
    </row>
    <row r="92" spans="1:11" x14ac:dyDescent="0.25">
      <c r="A92" s="18" t="str">
        <f xml:space="preserve">  MapNameLkup</f>
        <v>m_ofs_trex_ar_invoices</v>
      </c>
      <c r="B92" s="1" t="s">
        <v>92</v>
      </c>
      <c r="C92" s="1" t="s">
        <v>105</v>
      </c>
      <c r="D92" s="1" t="s">
        <v>1</v>
      </c>
      <c r="E92" s="1" t="s">
        <v>107</v>
      </c>
      <c r="F92">
        <v>1</v>
      </c>
      <c r="G92" s="1"/>
      <c r="H92" s="1" t="s">
        <v>200</v>
      </c>
      <c r="I92" s="1" t="s">
        <v>28</v>
      </c>
      <c r="J92" s="1" t="s">
        <v>31</v>
      </c>
      <c r="K92">
        <v>50</v>
      </c>
    </row>
    <row r="93" spans="1:11" x14ac:dyDescent="0.25">
      <c r="A93" s="18" t="str">
        <f xml:space="preserve">  MapNameLkup</f>
        <v>m_ofs_trex_ar_invoices</v>
      </c>
      <c r="B93" s="1" t="s">
        <v>92</v>
      </c>
      <c r="C93" s="1" t="s">
        <v>105</v>
      </c>
      <c r="D93" s="1" t="s">
        <v>1</v>
      </c>
      <c r="E93" s="1" t="s">
        <v>107</v>
      </c>
      <c r="F93">
        <v>1</v>
      </c>
      <c r="G93" s="1"/>
      <c r="H93" s="1" t="s">
        <v>201</v>
      </c>
      <c r="I93" s="1" t="s">
        <v>28</v>
      </c>
      <c r="J93" s="1" t="s">
        <v>31</v>
      </c>
      <c r="K93">
        <v>51</v>
      </c>
    </row>
    <row r="94" spans="1:11" x14ac:dyDescent="0.25">
      <c r="A94" s="18" t="str">
        <f xml:space="preserve">  MapNameLkup</f>
        <v>m_ofs_trex_ar_invoices</v>
      </c>
      <c r="B94" s="1" t="s">
        <v>92</v>
      </c>
      <c r="C94" s="1" t="s">
        <v>105</v>
      </c>
      <c r="D94" s="1" t="s">
        <v>1</v>
      </c>
      <c r="E94" s="1" t="s">
        <v>107</v>
      </c>
      <c r="F94">
        <v>1</v>
      </c>
      <c r="G94" s="1"/>
      <c r="H94" s="1" t="s">
        <v>202</v>
      </c>
      <c r="I94" s="1" t="s">
        <v>28</v>
      </c>
      <c r="J94" s="1" t="s">
        <v>31</v>
      </c>
      <c r="K94">
        <v>52</v>
      </c>
    </row>
    <row r="95" spans="1:11" x14ac:dyDescent="0.25">
      <c r="A95" s="18" t="str">
        <f xml:space="preserve">  MapNameLkup</f>
        <v>m_ofs_trex_ar_invoices</v>
      </c>
      <c r="B95" s="1" t="s">
        <v>92</v>
      </c>
      <c r="C95" s="1" t="s">
        <v>105</v>
      </c>
      <c r="D95" s="1" t="s">
        <v>1</v>
      </c>
      <c r="E95" s="1" t="s">
        <v>107</v>
      </c>
      <c r="F95">
        <v>1</v>
      </c>
      <c r="G95" s="1"/>
      <c r="H95" s="1" t="s">
        <v>203</v>
      </c>
      <c r="I95" s="1" t="s">
        <v>28</v>
      </c>
      <c r="J95" s="1" t="s">
        <v>31</v>
      </c>
      <c r="K95">
        <v>53</v>
      </c>
    </row>
    <row r="96" spans="1:11" x14ac:dyDescent="0.25">
      <c r="A96" s="18" t="str">
        <f xml:space="preserve">  MapNameLkup</f>
        <v>m_ofs_trex_ar_invoices</v>
      </c>
      <c r="B96" s="1" t="s">
        <v>92</v>
      </c>
      <c r="C96" s="1" t="s">
        <v>105</v>
      </c>
      <c r="D96" s="1" t="s">
        <v>1</v>
      </c>
      <c r="E96" s="1" t="s">
        <v>107</v>
      </c>
      <c r="F96">
        <v>1</v>
      </c>
      <c r="G96" s="1"/>
      <c r="H96" s="1" t="s">
        <v>204</v>
      </c>
      <c r="I96" s="1" t="s">
        <v>28</v>
      </c>
      <c r="J96" s="1" t="s">
        <v>31</v>
      </c>
      <c r="K96">
        <v>54</v>
      </c>
    </row>
    <row r="97" spans="1:11" x14ac:dyDescent="0.25">
      <c r="A97" s="18" t="str">
        <f xml:space="preserve">  MapNameLkup</f>
        <v>m_ofs_trex_ar_invoices</v>
      </c>
      <c r="B97" s="1" t="s">
        <v>92</v>
      </c>
      <c r="C97" s="1" t="s">
        <v>105</v>
      </c>
      <c r="D97" s="1" t="s">
        <v>1</v>
      </c>
      <c r="E97" s="1" t="s">
        <v>107</v>
      </c>
      <c r="F97">
        <v>1</v>
      </c>
      <c r="G97" s="1"/>
      <c r="H97" s="1" t="s">
        <v>205</v>
      </c>
      <c r="I97" s="1" t="s">
        <v>28</v>
      </c>
      <c r="J97" s="1" t="s">
        <v>31</v>
      </c>
      <c r="K97">
        <v>55</v>
      </c>
    </row>
    <row r="98" spans="1:11" x14ac:dyDescent="0.25">
      <c r="A98" s="18" t="str">
        <f xml:space="preserve">  MapNameLkup</f>
        <v>m_ofs_trex_ar_invoices</v>
      </c>
      <c r="B98" s="1" t="s">
        <v>92</v>
      </c>
      <c r="C98" s="1" t="s">
        <v>105</v>
      </c>
      <c r="D98" s="1" t="s">
        <v>1</v>
      </c>
      <c r="E98" s="1" t="s">
        <v>107</v>
      </c>
      <c r="F98">
        <v>1</v>
      </c>
      <c r="G98" s="1"/>
      <c r="H98" s="1" t="s">
        <v>206</v>
      </c>
      <c r="I98" s="1" t="s">
        <v>28</v>
      </c>
      <c r="J98" s="1" t="s">
        <v>31</v>
      </c>
      <c r="K98">
        <v>56</v>
      </c>
    </row>
    <row r="99" spans="1:11" x14ac:dyDescent="0.25">
      <c r="A99" s="18" t="str">
        <f xml:space="preserve">  MapNameLkup</f>
        <v>m_ofs_trex_ar_invoices</v>
      </c>
      <c r="B99" s="1" t="s">
        <v>92</v>
      </c>
      <c r="C99" s="1" t="s">
        <v>105</v>
      </c>
      <c r="D99" s="1" t="s">
        <v>1</v>
      </c>
      <c r="E99" s="1" t="s">
        <v>107</v>
      </c>
      <c r="F99">
        <v>1</v>
      </c>
      <c r="G99" s="1"/>
      <c r="H99" s="1" t="s">
        <v>207</v>
      </c>
      <c r="I99" s="1" t="s">
        <v>28</v>
      </c>
      <c r="J99" s="1" t="s">
        <v>31</v>
      </c>
      <c r="K99">
        <v>57</v>
      </c>
    </row>
    <row r="100" spans="1:11" x14ac:dyDescent="0.25">
      <c r="A100" s="18" t="str">
        <f xml:space="preserve">  MapNameLkup</f>
        <v>m_ofs_trex_ar_invoices</v>
      </c>
      <c r="B100" s="1" t="s">
        <v>92</v>
      </c>
      <c r="C100" s="1" t="s">
        <v>105</v>
      </c>
      <c r="D100" s="1" t="s">
        <v>1</v>
      </c>
      <c r="E100" s="1" t="s">
        <v>107</v>
      </c>
      <c r="F100">
        <v>1</v>
      </c>
      <c r="G100" s="1"/>
      <c r="H100" s="1" t="s">
        <v>208</v>
      </c>
      <c r="I100" s="1" t="s">
        <v>28</v>
      </c>
      <c r="J100" s="1" t="s">
        <v>31</v>
      </c>
      <c r="K100">
        <v>58</v>
      </c>
    </row>
    <row r="101" spans="1:11" x14ac:dyDescent="0.25">
      <c r="A101" s="18" t="str">
        <f xml:space="preserve">  MapNameLkup</f>
        <v>m_ofs_trex_ar_invoices</v>
      </c>
      <c r="B101" s="1" t="s">
        <v>92</v>
      </c>
      <c r="C101" s="1" t="s">
        <v>105</v>
      </c>
      <c r="D101" s="1" t="s">
        <v>1</v>
      </c>
      <c r="E101" s="1" t="s">
        <v>107</v>
      </c>
      <c r="F101">
        <v>1</v>
      </c>
      <c r="G101" s="1"/>
      <c r="H101" s="1" t="s">
        <v>209</v>
      </c>
      <c r="I101" s="1" t="s">
        <v>28</v>
      </c>
      <c r="J101" s="1" t="s">
        <v>31</v>
      </c>
      <c r="K101">
        <v>59</v>
      </c>
    </row>
    <row r="102" spans="1:11" x14ac:dyDescent="0.25">
      <c r="A102" s="18" t="str">
        <f xml:space="preserve">  MapNameLkup</f>
        <v>m_ofs_trex_ar_invoices</v>
      </c>
      <c r="B102" s="1" t="s">
        <v>92</v>
      </c>
      <c r="C102" s="1" t="s">
        <v>105</v>
      </c>
      <c r="D102" s="1" t="s">
        <v>1</v>
      </c>
      <c r="E102" s="1" t="s">
        <v>107</v>
      </c>
      <c r="F102">
        <v>1</v>
      </c>
      <c r="G102" s="1"/>
      <c r="H102" s="1" t="s">
        <v>210</v>
      </c>
      <c r="I102" s="1" t="s">
        <v>28</v>
      </c>
      <c r="J102" s="1" t="s">
        <v>31</v>
      </c>
      <c r="K102">
        <v>60</v>
      </c>
    </row>
    <row r="103" spans="1:11" x14ac:dyDescent="0.25">
      <c r="A103" s="18" t="str">
        <f xml:space="preserve">  MapNameLkup</f>
        <v>m_ofs_trex_ar_invoices</v>
      </c>
      <c r="B103" s="1" t="s">
        <v>92</v>
      </c>
      <c r="C103" s="1" t="s">
        <v>105</v>
      </c>
      <c r="D103" s="1" t="s">
        <v>1</v>
      </c>
      <c r="E103" s="1" t="s">
        <v>107</v>
      </c>
      <c r="F103">
        <v>1</v>
      </c>
      <c r="G103" s="1"/>
      <c r="H103" s="1" t="s">
        <v>211</v>
      </c>
      <c r="I103" s="1" t="s">
        <v>28</v>
      </c>
      <c r="J103" s="1" t="s">
        <v>31</v>
      </c>
      <c r="K103">
        <v>61</v>
      </c>
    </row>
    <row r="104" spans="1:11" x14ac:dyDescent="0.25">
      <c r="A104" s="18" t="str">
        <f xml:space="preserve">  MapNameLkup</f>
        <v>m_ofs_trex_ar_invoices</v>
      </c>
      <c r="B104" s="1" t="s">
        <v>92</v>
      </c>
      <c r="C104" s="1" t="s">
        <v>105</v>
      </c>
      <c r="D104" s="1" t="s">
        <v>1</v>
      </c>
      <c r="E104" s="1" t="s">
        <v>107</v>
      </c>
      <c r="F104">
        <v>1</v>
      </c>
      <c r="G104" s="1"/>
      <c r="H104" s="1" t="s">
        <v>212</v>
      </c>
      <c r="I104" s="1" t="s">
        <v>28</v>
      </c>
      <c r="J104" s="1" t="s">
        <v>31</v>
      </c>
      <c r="K104">
        <v>62</v>
      </c>
    </row>
    <row r="105" spans="1:11" x14ac:dyDescent="0.25">
      <c r="A105" s="18" t="str">
        <f xml:space="preserve">  MapNameLkup</f>
        <v>m_ofs_trex_ar_invoices</v>
      </c>
      <c r="B105" s="1" t="s">
        <v>92</v>
      </c>
      <c r="C105" s="1" t="s">
        <v>105</v>
      </c>
      <c r="D105" s="1" t="s">
        <v>1</v>
      </c>
      <c r="E105" s="1" t="s">
        <v>107</v>
      </c>
      <c r="F105">
        <v>1</v>
      </c>
      <c r="G105" s="1"/>
      <c r="H105" s="1" t="s">
        <v>213</v>
      </c>
      <c r="I105" s="1" t="s">
        <v>28</v>
      </c>
      <c r="J105" s="1" t="s">
        <v>31</v>
      </c>
      <c r="K105">
        <v>63</v>
      </c>
    </row>
    <row r="106" spans="1:11" x14ac:dyDescent="0.25">
      <c r="A106" s="18" t="str">
        <f xml:space="preserve">  MapNameLkup</f>
        <v>m_ofs_trex_ar_invoices</v>
      </c>
      <c r="B106" s="1" t="s">
        <v>92</v>
      </c>
      <c r="C106" s="1" t="s">
        <v>105</v>
      </c>
      <c r="D106" s="1" t="s">
        <v>1</v>
      </c>
      <c r="E106" s="1" t="s">
        <v>107</v>
      </c>
      <c r="F106">
        <v>1</v>
      </c>
      <c r="G106" s="1"/>
      <c r="H106" s="1" t="s">
        <v>214</v>
      </c>
      <c r="I106" s="1" t="s">
        <v>28</v>
      </c>
      <c r="J106" s="1" t="s">
        <v>31</v>
      </c>
      <c r="K106">
        <v>64</v>
      </c>
    </row>
    <row r="107" spans="1:11" x14ac:dyDescent="0.25">
      <c r="A107" s="18" t="str">
        <f xml:space="preserve">  MapNameLkup</f>
        <v>m_ofs_trex_ar_invoices</v>
      </c>
      <c r="B107" s="1" t="s">
        <v>92</v>
      </c>
      <c r="C107" s="1" t="s">
        <v>105</v>
      </c>
      <c r="D107" s="1" t="s">
        <v>1</v>
      </c>
      <c r="E107" s="1" t="s">
        <v>107</v>
      </c>
      <c r="F107">
        <v>1</v>
      </c>
      <c r="G107" s="1"/>
      <c r="H107" s="1" t="s">
        <v>215</v>
      </c>
      <c r="I107" s="1" t="s">
        <v>28</v>
      </c>
      <c r="J107" s="1" t="s">
        <v>31</v>
      </c>
      <c r="K107">
        <v>65</v>
      </c>
    </row>
    <row r="108" spans="1:11" x14ac:dyDescent="0.25">
      <c r="A108" s="18" t="str">
        <f xml:space="preserve">  MapNameLkup</f>
        <v>m_ofs_trex_ar_invoices</v>
      </c>
      <c r="B108" s="1" t="s">
        <v>92</v>
      </c>
      <c r="C108" s="1" t="s">
        <v>105</v>
      </c>
      <c r="D108" s="1" t="s">
        <v>1</v>
      </c>
      <c r="E108" s="1" t="s">
        <v>107</v>
      </c>
      <c r="F108">
        <v>1</v>
      </c>
      <c r="G108" s="1"/>
      <c r="H108" s="1" t="s">
        <v>216</v>
      </c>
      <c r="I108" s="1" t="s">
        <v>28</v>
      </c>
      <c r="J108" s="1" t="s">
        <v>31</v>
      </c>
      <c r="K108">
        <v>66</v>
      </c>
    </row>
    <row r="109" spans="1:11" x14ac:dyDescent="0.25">
      <c r="A109" s="18" t="str">
        <f xml:space="preserve">  MapNameLkup</f>
        <v>m_ofs_trex_ar_invoices</v>
      </c>
      <c r="B109" s="1" t="s">
        <v>92</v>
      </c>
      <c r="C109" s="1" t="s">
        <v>105</v>
      </c>
      <c r="D109" s="1" t="s">
        <v>1</v>
      </c>
      <c r="E109" s="1" t="s">
        <v>107</v>
      </c>
      <c r="F109">
        <v>1</v>
      </c>
      <c r="G109" s="1"/>
      <c r="H109" s="1" t="s">
        <v>217</v>
      </c>
      <c r="I109" s="1" t="s">
        <v>28</v>
      </c>
      <c r="J109" s="1" t="s">
        <v>31</v>
      </c>
      <c r="K109">
        <v>67</v>
      </c>
    </row>
    <row r="110" spans="1:11" x14ac:dyDescent="0.25">
      <c r="A110" s="18" t="str">
        <f xml:space="preserve">  MapNameLkup</f>
        <v>m_ofs_trex_ar_invoices</v>
      </c>
      <c r="B110" s="1" t="s">
        <v>92</v>
      </c>
      <c r="C110" s="1" t="s">
        <v>105</v>
      </c>
      <c r="D110" s="1" t="s">
        <v>1</v>
      </c>
      <c r="E110" s="1" t="s">
        <v>107</v>
      </c>
      <c r="F110">
        <v>1</v>
      </c>
      <c r="G110" s="1"/>
      <c r="H110" s="1" t="s">
        <v>218</v>
      </c>
      <c r="I110" s="1" t="s">
        <v>28</v>
      </c>
      <c r="J110" s="1" t="s">
        <v>31</v>
      </c>
      <c r="K110">
        <v>68</v>
      </c>
    </row>
    <row r="111" spans="1:11" x14ac:dyDescent="0.25">
      <c r="A111" s="18" t="str">
        <f xml:space="preserve">  MapNameLkup</f>
        <v>m_ofs_trex_ar_invoices</v>
      </c>
      <c r="B111" s="1" t="s">
        <v>92</v>
      </c>
      <c r="C111" s="1" t="s">
        <v>105</v>
      </c>
      <c r="D111" s="1" t="s">
        <v>1</v>
      </c>
      <c r="E111" s="1" t="s">
        <v>107</v>
      </c>
      <c r="F111">
        <v>1</v>
      </c>
      <c r="G111" s="1"/>
      <c r="H111" s="1" t="s">
        <v>219</v>
      </c>
      <c r="I111" s="1" t="s">
        <v>28</v>
      </c>
      <c r="J111" s="1" t="s">
        <v>31</v>
      </c>
      <c r="K111">
        <v>69</v>
      </c>
    </row>
    <row r="112" spans="1:11" x14ac:dyDescent="0.25">
      <c r="A112" s="18" t="str">
        <f xml:space="preserve">  MapNameLkup</f>
        <v>m_ofs_trex_ar_invoices</v>
      </c>
      <c r="B112" s="1" t="s">
        <v>92</v>
      </c>
      <c r="C112" s="1" t="s">
        <v>105</v>
      </c>
      <c r="D112" s="1" t="s">
        <v>1</v>
      </c>
      <c r="E112" s="1" t="s">
        <v>107</v>
      </c>
      <c r="F112">
        <v>1</v>
      </c>
      <c r="G112" s="1"/>
      <c r="H112" s="1" t="s">
        <v>220</v>
      </c>
      <c r="I112" s="1" t="s">
        <v>28</v>
      </c>
      <c r="J112" s="1" t="s">
        <v>31</v>
      </c>
      <c r="K112">
        <v>70</v>
      </c>
    </row>
    <row r="113" spans="1:11" x14ac:dyDescent="0.25">
      <c r="A113" s="18" t="str">
        <f xml:space="preserve">  MapNameLkup</f>
        <v>m_ofs_trex_ar_invoices</v>
      </c>
      <c r="B113" s="1" t="s">
        <v>92</v>
      </c>
      <c r="C113" s="1" t="s">
        <v>105</v>
      </c>
      <c r="D113" s="1" t="s">
        <v>1</v>
      </c>
      <c r="E113" s="1" t="s">
        <v>107</v>
      </c>
      <c r="F113">
        <v>1</v>
      </c>
      <c r="G113" s="1"/>
      <c r="H113" s="1" t="s">
        <v>221</v>
      </c>
      <c r="I113" s="1" t="s">
        <v>28</v>
      </c>
      <c r="J113" s="1" t="s">
        <v>31</v>
      </c>
      <c r="K113">
        <v>71</v>
      </c>
    </row>
    <row r="114" spans="1:11" x14ac:dyDescent="0.25">
      <c r="A114" s="18" t="str">
        <f xml:space="preserve">  MapNameLkup</f>
        <v>m_ofs_trex_ar_invoices</v>
      </c>
      <c r="B114" s="1" t="s">
        <v>92</v>
      </c>
      <c r="C114" s="1" t="s">
        <v>105</v>
      </c>
      <c r="D114" s="1" t="s">
        <v>1</v>
      </c>
      <c r="E114" s="1" t="s">
        <v>107</v>
      </c>
      <c r="F114">
        <v>1</v>
      </c>
      <c r="G114" s="1"/>
      <c r="H114" s="1" t="s">
        <v>222</v>
      </c>
      <c r="I114" s="1" t="s">
        <v>28</v>
      </c>
      <c r="J114" s="1" t="s">
        <v>31</v>
      </c>
      <c r="K114">
        <v>72</v>
      </c>
    </row>
    <row r="115" spans="1:11" x14ac:dyDescent="0.25">
      <c r="A115" s="18" t="str">
        <f xml:space="preserve">  MapNameLkup</f>
        <v>m_ofs_trex_ar_invoices</v>
      </c>
      <c r="B115" s="1" t="s">
        <v>92</v>
      </c>
      <c r="C115" s="1" t="s">
        <v>105</v>
      </c>
      <c r="D115" s="1" t="s">
        <v>1</v>
      </c>
      <c r="E115" s="1" t="s">
        <v>107</v>
      </c>
      <c r="F115">
        <v>1</v>
      </c>
      <c r="G115" s="1"/>
      <c r="H115" s="1" t="s">
        <v>223</v>
      </c>
      <c r="I115" s="1" t="s">
        <v>28</v>
      </c>
      <c r="J115" s="1" t="s">
        <v>31</v>
      </c>
      <c r="K115">
        <v>73</v>
      </c>
    </row>
    <row r="116" spans="1:11" x14ac:dyDescent="0.25">
      <c r="A116" s="18" t="str">
        <f xml:space="preserve">  MapNameLkup</f>
        <v>m_ofs_trex_ar_invoices</v>
      </c>
      <c r="B116" s="1" t="s">
        <v>92</v>
      </c>
      <c r="C116" s="1" t="s">
        <v>105</v>
      </c>
      <c r="D116" s="1" t="s">
        <v>1</v>
      </c>
      <c r="E116" s="1" t="s">
        <v>107</v>
      </c>
      <c r="F116">
        <v>1</v>
      </c>
      <c r="G116" s="1"/>
      <c r="H116" s="1" t="s">
        <v>224</v>
      </c>
      <c r="I116" s="1" t="s">
        <v>28</v>
      </c>
      <c r="J116" s="1" t="s">
        <v>31</v>
      </c>
      <c r="K116">
        <v>74</v>
      </c>
    </row>
    <row r="117" spans="1:11" x14ac:dyDescent="0.25">
      <c r="A117" s="18" t="str">
        <f xml:space="preserve">  MapNameLkup</f>
        <v>m_ofs_trex_ar_invoices</v>
      </c>
      <c r="B117" s="1" t="s">
        <v>92</v>
      </c>
      <c r="C117" s="1" t="s">
        <v>105</v>
      </c>
      <c r="D117" s="1" t="s">
        <v>1</v>
      </c>
      <c r="E117" s="1" t="s">
        <v>107</v>
      </c>
      <c r="F117">
        <v>1</v>
      </c>
      <c r="G117" s="1"/>
      <c r="H117" s="1" t="s">
        <v>225</v>
      </c>
      <c r="I117" s="1" t="s">
        <v>28</v>
      </c>
      <c r="J117" s="1" t="s">
        <v>31</v>
      </c>
      <c r="K117">
        <v>75</v>
      </c>
    </row>
    <row r="118" spans="1:11" x14ac:dyDescent="0.25">
      <c r="A118" s="18" t="str">
        <f xml:space="preserve">  MapNameLkup</f>
        <v>m_ofs_trex_ar_invoices</v>
      </c>
      <c r="B118" s="1" t="s">
        <v>92</v>
      </c>
      <c r="C118" s="1" t="s">
        <v>105</v>
      </c>
      <c r="D118" s="1" t="s">
        <v>1</v>
      </c>
      <c r="E118" s="1" t="s">
        <v>107</v>
      </c>
      <c r="F118">
        <v>1</v>
      </c>
      <c r="G118" s="1"/>
      <c r="H118" s="1" t="s">
        <v>226</v>
      </c>
      <c r="I118" s="1" t="s">
        <v>28</v>
      </c>
      <c r="J118" s="1" t="s">
        <v>31</v>
      </c>
      <c r="K118">
        <v>76</v>
      </c>
    </row>
    <row r="119" spans="1:11" x14ac:dyDescent="0.25">
      <c r="A119" s="18" t="str">
        <f xml:space="preserve">  MapNameLkup</f>
        <v>m_ofs_trex_ar_invoices</v>
      </c>
      <c r="B119" s="1" t="s">
        <v>92</v>
      </c>
      <c r="C119" s="1" t="s">
        <v>105</v>
      </c>
      <c r="D119" s="1" t="s">
        <v>1</v>
      </c>
      <c r="E119" s="1" t="s">
        <v>107</v>
      </c>
      <c r="F119">
        <v>1</v>
      </c>
      <c r="G119" s="1"/>
      <c r="H119" s="1" t="s">
        <v>227</v>
      </c>
      <c r="I119" s="1" t="s">
        <v>28</v>
      </c>
      <c r="J119" s="1" t="s">
        <v>31</v>
      </c>
      <c r="K119">
        <v>77</v>
      </c>
    </row>
    <row r="120" spans="1:11" x14ac:dyDescent="0.25">
      <c r="A120" s="18" t="str">
        <f xml:space="preserve">  MapNameLkup</f>
        <v>m_ofs_trex_ar_invoices</v>
      </c>
      <c r="B120" s="1" t="s">
        <v>92</v>
      </c>
      <c r="C120" s="1" t="s">
        <v>105</v>
      </c>
      <c r="D120" s="1" t="s">
        <v>1</v>
      </c>
      <c r="E120" s="1" t="s">
        <v>107</v>
      </c>
      <c r="F120">
        <v>1</v>
      </c>
      <c r="G120" s="1"/>
      <c r="H120" s="1" t="s">
        <v>228</v>
      </c>
      <c r="I120" s="1" t="s">
        <v>28</v>
      </c>
      <c r="J120" s="1" t="s">
        <v>31</v>
      </c>
      <c r="K120">
        <v>78</v>
      </c>
    </row>
    <row r="121" spans="1:11" x14ac:dyDescent="0.25">
      <c r="A121" s="18" t="str">
        <f xml:space="preserve">  MapNameLkup</f>
        <v>m_ofs_trex_ar_invoices</v>
      </c>
      <c r="B121" s="1" t="s">
        <v>92</v>
      </c>
      <c r="C121" s="1" t="s">
        <v>105</v>
      </c>
      <c r="D121" s="1" t="s">
        <v>1</v>
      </c>
      <c r="E121" s="1" t="s">
        <v>107</v>
      </c>
      <c r="F121">
        <v>1</v>
      </c>
      <c r="G121" s="1"/>
      <c r="H121" s="1" t="s">
        <v>229</v>
      </c>
      <c r="I121" s="1" t="s">
        <v>28</v>
      </c>
      <c r="J121" s="1" t="s">
        <v>31</v>
      </c>
      <c r="K121">
        <v>79</v>
      </c>
    </row>
    <row r="122" spans="1:11" x14ac:dyDescent="0.25">
      <c r="A122" s="18" t="str">
        <f xml:space="preserve">  MapNameLkup</f>
        <v>m_ofs_trex_ar_invoices</v>
      </c>
      <c r="B122" s="1" t="s">
        <v>92</v>
      </c>
      <c r="C122" s="1" t="s">
        <v>105</v>
      </c>
      <c r="D122" s="1" t="s">
        <v>1</v>
      </c>
      <c r="E122" s="1" t="s">
        <v>107</v>
      </c>
      <c r="F122">
        <v>1</v>
      </c>
      <c r="G122" s="1"/>
      <c r="H122" s="1" t="s">
        <v>230</v>
      </c>
      <c r="I122" s="1" t="s">
        <v>28</v>
      </c>
      <c r="J122" s="1" t="s">
        <v>31</v>
      </c>
      <c r="K122">
        <v>80</v>
      </c>
    </row>
    <row r="123" spans="1:11" x14ac:dyDescent="0.25">
      <c r="A123" s="18" t="str">
        <f xml:space="preserve">  MapNameLkup</f>
        <v>m_ofs_trex_ar_invoices</v>
      </c>
      <c r="B123" s="1" t="s">
        <v>92</v>
      </c>
      <c r="C123" s="1" t="s">
        <v>105</v>
      </c>
      <c r="D123" s="1" t="s">
        <v>1</v>
      </c>
      <c r="E123" s="1" t="s">
        <v>107</v>
      </c>
      <c r="F123">
        <v>1</v>
      </c>
      <c r="G123" s="1"/>
      <c r="H123" s="1" t="s">
        <v>231</v>
      </c>
      <c r="I123" s="1" t="s">
        <v>28</v>
      </c>
      <c r="J123" s="1" t="s">
        <v>31</v>
      </c>
      <c r="K123">
        <v>81</v>
      </c>
    </row>
    <row r="124" spans="1:11" x14ac:dyDescent="0.25">
      <c r="A124" s="18" t="str">
        <f xml:space="preserve">  MapNameLkup</f>
        <v>m_ofs_trex_ar_invoices</v>
      </c>
      <c r="B124" s="1" t="s">
        <v>92</v>
      </c>
      <c r="C124" s="1" t="s">
        <v>105</v>
      </c>
      <c r="D124" s="1" t="s">
        <v>1</v>
      </c>
      <c r="E124" s="1" t="s">
        <v>107</v>
      </c>
      <c r="F124">
        <v>1</v>
      </c>
      <c r="G124" s="1"/>
      <c r="H124" s="1" t="s">
        <v>232</v>
      </c>
      <c r="I124" s="1" t="s">
        <v>28</v>
      </c>
      <c r="J124" s="1" t="s">
        <v>31</v>
      </c>
      <c r="K124">
        <v>82</v>
      </c>
    </row>
    <row r="125" spans="1:11" x14ac:dyDescent="0.25">
      <c r="A125" s="18" t="str">
        <f xml:space="preserve">  MapNameLkup</f>
        <v>m_ofs_trex_ar_invoices</v>
      </c>
      <c r="B125" s="1" t="s">
        <v>92</v>
      </c>
      <c r="C125" s="1" t="s">
        <v>105</v>
      </c>
      <c r="D125" s="1" t="s">
        <v>1</v>
      </c>
      <c r="E125" s="1" t="s">
        <v>107</v>
      </c>
      <c r="F125">
        <v>1</v>
      </c>
      <c r="G125" s="1"/>
      <c r="H125" s="1" t="s">
        <v>233</v>
      </c>
      <c r="I125" s="1" t="s">
        <v>28</v>
      </c>
      <c r="J125" s="1" t="s">
        <v>31</v>
      </c>
      <c r="K125">
        <v>83</v>
      </c>
    </row>
    <row r="126" spans="1:11" x14ac:dyDescent="0.25">
      <c r="A126" s="18" t="str">
        <f xml:space="preserve">  MapNameLkup</f>
        <v>m_ofs_trex_ar_invoices</v>
      </c>
      <c r="B126" s="1" t="s">
        <v>92</v>
      </c>
      <c r="C126" s="1" t="s">
        <v>105</v>
      </c>
      <c r="D126" s="1" t="s">
        <v>1</v>
      </c>
      <c r="E126" s="1" t="s">
        <v>107</v>
      </c>
      <c r="F126">
        <v>1</v>
      </c>
      <c r="G126" s="1"/>
      <c r="H126" s="1" t="s">
        <v>234</v>
      </c>
      <c r="I126" s="1" t="s">
        <v>28</v>
      </c>
      <c r="J126" s="1" t="s">
        <v>31</v>
      </c>
      <c r="K126">
        <v>84</v>
      </c>
    </row>
    <row r="127" spans="1:11" x14ac:dyDescent="0.25">
      <c r="A127" s="18" t="str">
        <f xml:space="preserve">  MapNameLkup</f>
        <v>m_ofs_trex_ar_invoices</v>
      </c>
      <c r="B127" s="1" t="s">
        <v>92</v>
      </c>
      <c r="C127" s="1" t="s">
        <v>105</v>
      </c>
      <c r="D127" s="1" t="s">
        <v>1</v>
      </c>
      <c r="E127" s="1" t="s">
        <v>107</v>
      </c>
      <c r="F127">
        <v>1</v>
      </c>
      <c r="G127" s="1"/>
      <c r="H127" s="1" t="s">
        <v>235</v>
      </c>
      <c r="I127" s="1" t="s">
        <v>28</v>
      </c>
      <c r="J127" s="1" t="s">
        <v>31</v>
      </c>
      <c r="K127">
        <v>85</v>
      </c>
    </row>
    <row r="128" spans="1:11" x14ac:dyDescent="0.25">
      <c r="A128" s="18" t="str">
        <f xml:space="preserve">  MapNameLkup</f>
        <v>m_ofs_trex_ar_invoices</v>
      </c>
      <c r="B128" s="1" t="s">
        <v>92</v>
      </c>
      <c r="C128" s="1" t="s">
        <v>105</v>
      </c>
      <c r="D128" s="1" t="s">
        <v>1</v>
      </c>
      <c r="E128" s="1" t="s">
        <v>107</v>
      </c>
      <c r="F128">
        <v>1</v>
      </c>
      <c r="G128" s="1"/>
      <c r="H128" s="1" t="s">
        <v>236</v>
      </c>
      <c r="I128" s="1" t="s">
        <v>28</v>
      </c>
      <c r="J128" s="1" t="s">
        <v>31</v>
      </c>
      <c r="K128">
        <v>86</v>
      </c>
    </row>
    <row r="129" spans="1:11" x14ac:dyDescent="0.25">
      <c r="A129" s="18" t="str">
        <f xml:space="preserve">  MapNameLkup</f>
        <v>m_ofs_trex_ar_invoices</v>
      </c>
      <c r="B129" s="1" t="s">
        <v>92</v>
      </c>
      <c r="C129" s="1" t="s">
        <v>105</v>
      </c>
      <c r="D129" s="1" t="s">
        <v>1</v>
      </c>
      <c r="E129" s="1" t="s">
        <v>107</v>
      </c>
      <c r="F129">
        <v>1</v>
      </c>
      <c r="G129" s="1"/>
      <c r="H129" s="1" t="s">
        <v>237</v>
      </c>
      <c r="I129" s="1" t="s">
        <v>28</v>
      </c>
      <c r="J129" s="1" t="s">
        <v>31</v>
      </c>
      <c r="K129">
        <v>87</v>
      </c>
    </row>
    <row r="130" spans="1:11" x14ac:dyDescent="0.25">
      <c r="A130" s="18" t="str">
        <f xml:space="preserve">  MapNameLkup</f>
        <v>m_ofs_trex_ar_invoices</v>
      </c>
      <c r="B130" s="1" t="s">
        <v>92</v>
      </c>
      <c r="C130" s="1" t="s">
        <v>105</v>
      </c>
      <c r="D130" s="1" t="s">
        <v>1</v>
      </c>
      <c r="E130" s="1" t="s">
        <v>107</v>
      </c>
      <c r="F130">
        <v>1</v>
      </c>
      <c r="G130" s="1"/>
      <c r="H130" s="1" t="s">
        <v>238</v>
      </c>
      <c r="I130" s="1" t="s">
        <v>28</v>
      </c>
      <c r="J130" s="1" t="s">
        <v>31</v>
      </c>
      <c r="K130">
        <v>88</v>
      </c>
    </row>
    <row r="131" spans="1:11" x14ac:dyDescent="0.25">
      <c r="A131" s="18" t="str">
        <f xml:space="preserve">  MapNameLkup</f>
        <v>m_ofs_trex_ar_invoices</v>
      </c>
      <c r="B131" s="1" t="s">
        <v>92</v>
      </c>
      <c r="C131" s="1" t="s">
        <v>105</v>
      </c>
      <c r="D131" s="1" t="s">
        <v>1</v>
      </c>
      <c r="E131" s="1" t="s">
        <v>107</v>
      </c>
      <c r="F131">
        <v>1</v>
      </c>
      <c r="G131" s="1"/>
      <c r="H131" s="1" t="s">
        <v>239</v>
      </c>
      <c r="I131" s="1" t="s">
        <v>28</v>
      </c>
      <c r="J131" s="1" t="s">
        <v>31</v>
      </c>
      <c r="K131">
        <v>89</v>
      </c>
    </row>
    <row r="132" spans="1:11" x14ac:dyDescent="0.25">
      <c r="A132" s="18" t="str">
        <f xml:space="preserve">  MapNameLkup</f>
        <v>m_ofs_trex_ar_invoices</v>
      </c>
      <c r="B132" s="1" t="s">
        <v>92</v>
      </c>
      <c r="C132" s="1" t="s">
        <v>105</v>
      </c>
      <c r="D132" s="1" t="s">
        <v>1</v>
      </c>
      <c r="E132" s="1" t="s">
        <v>107</v>
      </c>
      <c r="F132">
        <v>1</v>
      </c>
      <c r="G132" s="1"/>
      <c r="H132" s="1" t="s">
        <v>240</v>
      </c>
      <c r="I132" s="1" t="s">
        <v>28</v>
      </c>
      <c r="J132" s="1" t="s">
        <v>31</v>
      </c>
      <c r="K132">
        <v>90</v>
      </c>
    </row>
    <row r="133" spans="1:11" x14ac:dyDescent="0.25">
      <c r="A133" s="18" t="str">
        <f xml:space="preserve">  MapNameLkup</f>
        <v>m_ofs_trex_ar_invoices</v>
      </c>
      <c r="B133" s="1" t="s">
        <v>92</v>
      </c>
      <c r="C133" s="1" t="s">
        <v>105</v>
      </c>
      <c r="D133" s="1" t="s">
        <v>1</v>
      </c>
      <c r="E133" s="1" t="s">
        <v>107</v>
      </c>
      <c r="F133">
        <v>1</v>
      </c>
      <c r="G133" s="1"/>
      <c r="H133" s="1" t="s">
        <v>241</v>
      </c>
      <c r="I133" s="1" t="s">
        <v>28</v>
      </c>
      <c r="J133" s="1" t="s">
        <v>31</v>
      </c>
      <c r="K133">
        <v>91</v>
      </c>
    </row>
    <row r="134" spans="1:11" x14ac:dyDescent="0.25">
      <c r="A134" s="18" t="str">
        <f xml:space="preserve">  MapNameLkup</f>
        <v>m_ofs_trex_ar_invoices</v>
      </c>
      <c r="B134" s="1" t="s">
        <v>92</v>
      </c>
      <c r="C134" s="1" t="s">
        <v>105</v>
      </c>
      <c r="D134" s="1" t="s">
        <v>1</v>
      </c>
      <c r="E134" s="1" t="s">
        <v>107</v>
      </c>
      <c r="F134">
        <v>1</v>
      </c>
      <c r="G134" s="1"/>
      <c r="H134" s="1" t="s">
        <v>242</v>
      </c>
      <c r="I134" s="1" t="s">
        <v>28</v>
      </c>
      <c r="J134" s="1" t="s">
        <v>31</v>
      </c>
      <c r="K134">
        <v>92</v>
      </c>
    </row>
    <row r="135" spans="1:11" x14ac:dyDescent="0.25">
      <c r="A135" s="18" t="str">
        <f xml:space="preserve">  MapNameLkup</f>
        <v>m_ofs_trex_ar_invoices</v>
      </c>
      <c r="B135" s="1" t="s">
        <v>92</v>
      </c>
      <c r="C135" s="1" t="s">
        <v>105</v>
      </c>
      <c r="D135" s="1" t="s">
        <v>1</v>
      </c>
      <c r="E135" s="1" t="s">
        <v>107</v>
      </c>
      <c r="F135">
        <v>1</v>
      </c>
      <c r="G135" s="1"/>
      <c r="H135" s="1" t="s">
        <v>243</v>
      </c>
      <c r="I135" s="1" t="s">
        <v>28</v>
      </c>
      <c r="J135" s="1" t="s">
        <v>31</v>
      </c>
      <c r="K135">
        <v>93</v>
      </c>
    </row>
    <row r="136" spans="1:11" x14ac:dyDescent="0.25">
      <c r="A136" s="18" t="str">
        <f xml:space="preserve">  MapNameLkup</f>
        <v>m_ofs_trex_ar_invoices</v>
      </c>
      <c r="B136" s="1" t="s">
        <v>92</v>
      </c>
      <c r="C136" s="1" t="s">
        <v>105</v>
      </c>
      <c r="D136" s="1" t="s">
        <v>1</v>
      </c>
      <c r="E136" s="1" t="s">
        <v>107</v>
      </c>
      <c r="F136">
        <v>1</v>
      </c>
      <c r="G136" s="1"/>
      <c r="H136" s="1" t="s">
        <v>244</v>
      </c>
      <c r="I136" s="1" t="s">
        <v>28</v>
      </c>
      <c r="J136" s="1" t="s">
        <v>31</v>
      </c>
      <c r="K136">
        <v>94</v>
      </c>
    </row>
    <row r="137" spans="1:11" x14ac:dyDescent="0.25">
      <c r="A137" s="18" t="str">
        <f xml:space="preserve">  MapNameLkup</f>
        <v>m_ofs_trex_ar_invoices</v>
      </c>
      <c r="B137" s="1" t="s">
        <v>93</v>
      </c>
      <c r="C137" s="1" t="s">
        <v>105</v>
      </c>
      <c r="D137" s="1" t="s">
        <v>1</v>
      </c>
      <c r="E137" s="1" t="s">
        <v>107</v>
      </c>
      <c r="F137">
        <v>1</v>
      </c>
      <c r="G137" s="1"/>
      <c r="H137" s="1" t="s">
        <v>245</v>
      </c>
      <c r="I137" s="1" t="s">
        <v>28</v>
      </c>
      <c r="J137" s="1" t="s">
        <v>32</v>
      </c>
      <c r="K137">
        <v>1</v>
      </c>
    </row>
    <row r="138" spans="1:11" x14ac:dyDescent="0.25">
      <c r="A138" s="18" t="str">
        <f xml:space="preserve">  MapNameLkup</f>
        <v>m_ofs_trex_ar_invoices</v>
      </c>
      <c r="B138" s="1" t="s">
        <v>93</v>
      </c>
      <c r="C138" s="1" t="s">
        <v>105</v>
      </c>
      <c r="D138" s="1" t="s">
        <v>1</v>
      </c>
      <c r="E138" s="1" t="s">
        <v>107</v>
      </c>
      <c r="F138">
        <v>1</v>
      </c>
      <c r="G138" s="1"/>
      <c r="H138" s="1" t="s">
        <v>157</v>
      </c>
      <c r="I138" s="1" t="s">
        <v>28</v>
      </c>
      <c r="J138" s="1" t="s">
        <v>32</v>
      </c>
      <c r="K138">
        <v>2</v>
      </c>
    </row>
    <row r="139" spans="1:11" x14ac:dyDescent="0.25">
      <c r="A139" s="18" t="str">
        <f xml:space="preserve">  MapNameLkup</f>
        <v>m_ofs_trex_ar_invoices</v>
      </c>
      <c r="B139" s="1" t="s">
        <v>93</v>
      </c>
      <c r="C139" s="1" t="s">
        <v>105</v>
      </c>
      <c r="D139" s="1" t="s">
        <v>1</v>
      </c>
      <c r="E139" s="1" t="s">
        <v>107</v>
      </c>
      <c r="F139">
        <v>1</v>
      </c>
      <c r="G139" s="1"/>
      <c r="H139" s="1" t="s">
        <v>156</v>
      </c>
      <c r="I139" s="1" t="s">
        <v>28</v>
      </c>
      <c r="J139" s="1" t="s">
        <v>32</v>
      </c>
      <c r="K139">
        <v>3</v>
      </c>
    </row>
    <row r="140" spans="1:11" x14ac:dyDescent="0.25">
      <c r="A140" s="18" t="str">
        <f xml:space="preserve">  MapNameLkup</f>
        <v>m_ofs_trex_ar_invoices</v>
      </c>
      <c r="B140" s="1" t="s">
        <v>93</v>
      </c>
      <c r="C140" s="1" t="s">
        <v>105</v>
      </c>
      <c r="D140" s="1" t="s">
        <v>1</v>
      </c>
      <c r="E140" s="1" t="s">
        <v>107</v>
      </c>
      <c r="F140">
        <v>1</v>
      </c>
      <c r="G140" s="1"/>
      <c r="H140" s="1" t="s">
        <v>155</v>
      </c>
      <c r="I140" s="1" t="s">
        <v>28</v>
      </c>
      <c r="J140" s="1" t="s">
        <v>32</v>
      </c>
      <c r="K140">
        <v>4</v>
      </c>
    </row>
    <row r="141" spans="1:11" x14ac:dyDescent="0.25">
      <c r="A141" s="18" t="str">
        <f xml:space="preserve">  MapNameLkup</f>
        <v>m_ofs_trex_ar_invoices</v>
      </c>
      <c r="B141" s="1" t="s">
        <v>93</v>
      </c>
      <c r="C141" s="1" t="s">
        <v>105</v>
      </c>
      <c r="D141" s="1" t="s">
        <v>1</v>
      </c>
      <c r="E141" s="1" t="s">
        <v>107</v>
      </c>
      <c r="F141">
        <v>1</v>
      </c>
      <c r="G141" s="1"/>
      <c r="H141" s="1" t="s">
        <v>154</v>
      </c>
      <c r="I141" s="1" t="s">
        <v>28</v>
      </c>
      <c r="J141" s="1" t="s">
        <v>32</v>
      </c>
      <c r="K141">
        <v>5</v>
      </c>
    </row>
    <row r="142" spans="1:11" x14ac:dyDescent="0.25">
      <c r="A142" s="18" t="str">
        <f xml:space="preserve">  MapNameLkup</f>
        <v>m_ofs_trex_ar_invoices</v>
      </c>
      <c r="B142" s="1" t="s">
        <v>93</v>
      </c>
      <c r="C142" s="1" t="s">
        <v>105</v>
      </c>
      <c r="D142" s="1" t="s">
        <v>1</v>
      </c>
      <c r="E142" s="1" t="s">
        <v>107</v>
      </c>
      <c r="F142">
        <v>1</v>
      </c>
      <c r="G142" s="1"/>
      <c r="H142" s="1" t="s">
        <v>3</v>
      </c>
      <c r="I142" s="1" t="s">
        <v>28</v>
      </c>
      <c r="J142" s="1" t="s">
        <v>32</v>
      </c>
      <c r="K142">
        <v>6</v>
      </c>
    </row>
    <row r="143" spans="1:11" x14ac:dyDescent="0.25">
      <c r="A143" s="18" t="str">
        <f xml:space="preserve">  MapNameLkup</f>
        <v>m_ofs_trex_ar_invoices</v>
      </c>
      <c r="B143" s="1" t="s">
        <v>93</v>
      </c>
      <c r="C143" s="1" t="s">
        <v>105</v>
      </c>
      <c r="D143" s="1" t="s">
        <v>1</v>
      </c>
      <c r="E143" s="1" t="s">
        <v>107</v>
      </c>
      <c r="F143">
        <v>1</v>
      </c>
      <c r="G143" s="1"/>
      <c r="H143" s="1" t="s">
        <v>246</v>
      </c>
      <c r="I143" s="1" t="s">
        <v>28</v>
      </c>
      <c r="J143" s="1" t="s">
        <v>32</v>
      </c>
      <c r="K143">
        <v>7</v>
      </c>
    </row>
    <row r="144" spans="1:11" x14ac:dyDescent="0.25">
      <c r="A144" s="18" t="str">
        <f xml:space="preserve">  MapNameLkup</f>
        <v>m_ofs_trex_ar_invoices</v>
      </c>
      <c r="B144" s="1" t="s">
        <v>93</v>
      </c>
      <c r="C144" s="1" t="s">
        <v>105</v>
      </c>
      <c r="D144" s="1" t="s">
        <v>1</v>
      </c>
      <c r="E144" s="1" t="s">
        <v>107</v>
      </c>
      <c r="F144">
        <v>1</v>
      </c>
      <c r="G144" s="1"/>
      <c r="H144" s="1" t="s">
        <v>204</v>
      </c>
      <c r="I144" s="1" t="s">
        <v>28</v>
      </c>
      <c r="J144" s="1" t="s">
        <v>32</v>
      </c>
      <c r="K144">
        <v>8</v>
      </c>
    </row>
    <row r="145" spans="1:11" x14ac:dyDescent="0.25">
      <c r="A145" s="18" t="str">
        <f xml:space="preserve">  MapNameLkup</f>
        <v>m_ofs_trex_ar_invoices</v>
      </c>
      <c r="B145" s="1" t="s">
        <v>93</v>
      </c>
      <c r="C145" s="1" t="s">
        <v>105</v>
      </c>
      <c r="D145" s="1" t="s">
        <v>1</v>
      </c>
      <c r="E145" s="1" t="s">
        <v>107</v>
      </c>
      <c r="F145">
        <v>1</v>
      </c>
      <c r="G145" s="1"/>
      <c r="H145" s="1" t="s">
        <v>247</v>
      </c>
      <c r="I145" s="1" t="s">
        <v>28</v>
      </c>
      <c r="J145" s="1" t="s">
        <v>31</v>
      </c>
      <c r="K145">
        <v>9</v>
      </c>
    </row>
    <row r="146" spans="1:11" x14ac:dyDescent="0.25">
      <c r="A146" s="18" t="str">
        <f xml:space="preserve">  MapNameLkup</f>
        <v>m_ofs_trex_ar_invoices</v>
      </c>
      <c r="B146" s="1" t="s">
        <v>93</v>
      </c>
      <c r="C146" s="1" t="s">
        <v>105</v>
      </c>
      <c r="D146" s="1" t="s">
        <v>1</v>
      </c>
      <c r="E146" s="1" t="s">
        <v>107</v>
      </c>
      <c r="F146">
        <v>1</v>
      </c>
      <c r="G146" s="1"/>
      <c r="H146" s="1" t="s">
        <v>248</v>
      </c>
      <c r="I146" s="1" t="s">
        <v>28</v>
      </c>
      <c r="J146" s="1" t="s">
        <v>31</v>
      </c>
      <c r="K146">
        <v>10</v>
      </c>
    </row>
    <row r="147" spans="1:11" x14ac:dyDescent="0.25">
      <c r="A147" s="18" t="str">
        <f xml:space="preserve">  MapNameLkup</f>
        <v>m_ofs_trex_ar_invoices</v>
      </c>
      <c r="B147" s="1" t="s">
        <v>93</v>
      </c>
      <c r="C147" s="1" t="s">
        <v>105</v>
      </c>
      <c r="D147" s="1" t="s">
        <v>1</v>
      </c>
      <c r="E147" s="1" t="s">
        <v>107</v>
      </c>
      <c r="F147">
        <v>1</v>
      </c>
      <c r="G147" s="1"/>
      <c r="H147" s="1" t="s">
        <v>186</v>
      </c>
      <c r="I147" s="1" t="s">
        <v>28</v>
      </c>
      <c r="J147" s="1" t="s">
        <v>31</v>
      </c>
      <c r="K147">
        <v>11</v>
      </c>
    </row>
    <row r="148" spans="1:11" x14ac:dyDescent="0.25">
      <c r="A148" s="18" t="str">
        <f xml:space="preserve">  MapNameLkup</f>
        <v>m_ofs_trex_ar_invoices</v>
      </c>
      <c r="B148" s="1" t="s">
        <v>93</v>
      </c>
      <c r="C148" s="1" t="s">
        <v>105</v>
      </c>
      <c r="D148" s="1" t="s">
        <v>1</v>
      </c>
      <c r="E148" s="1" t="s">
        <v>107</v>
      </c>
      <c r="F148">
        <v>1</v>
      </c>
      <c r="G148" s="1"/>
      <c r="H148" s="1" t="s">
        <v>158</v>
      </c>
      <c r="I148" s="1" t="s">
        <v>28</v>
      </c>
      <c r="J148" s="1" t="s">
        <v>31</v>
      </c>
      <c r="K148">
        <v>12</v>
      </c>
    </row>
    <row r="149" spans="1:11" x14ac:dyDescent="0.25">
      <c r="A149" s="18" t="str">
        <f xml:space="preserve">  MapNameLkup</f>
        <v>m_ofs_trex_ar_invoices</v>
      </c>
      <c r="B149" s="1" t="s">
        <v>93</v>
      </c>
      <c r="C149" s="1" t="s">
        <v>105</v>
      </c>
      <c r="D149" s="1" t="s">
        <v>1</v>
      </c>
      <c r="E149" s="1" t="s">
        <v>107</v>
      </c>
      <c r="F149">
        <v>1</v>
      </c>
      <c r="G149" s="1"/>
      <c r="H149" s="1" t="s">
        <v>249</v>
      </c>
      <c r="I149" s="1" t="s">
        <v>28</v>
      </c>
      <c r="J149" s="1" t="s">
        <v>31</v>
      </c>
      <c r="K149">
        <v>13</v>
      </c>
    </row>
    <row r="150" spans="1:11" x14ac:dyDescent="0.25">
      <c r="A150" s="18" t="str">
        <f xml:space="preserve">  MapNameLkup</f>
        <v>m_ofs_trex_ar_invoices</v>
      </c>
      <c r="B150" s="1" t="s">
        <v>93</v>
      </c>
      <c r="C150" s="1" t="s">
        <v>105</v>
      </c>
      <c r="D150" s="1" t="s">
        <v>1</v>
      </c>
      <c r="E150" s="1" t="s">
        <v>107</v>
      </c>
      <c r="F150">
        <v>1</v>
      </c>
      <c r="G150" s="1"/>
      <c r="H150" s="1" t="s">
        <v>250</v>
      </c>
      <c r="I150" s="1" t="s">
        <v>28</v>
      </c>
      <c r="J150" s="1" t="s">
        <v>31</v>
      </c>
      <c r="K150">
        <v>14</v>
      </c>
    </row>
    <row r="151" spans="1:11" x14ac:dyDescent="0.25">
      <c r="A151" s="18" t="str">
        <f xml:space="preserve">  MapNameLkup</f>
        <v>m_ofs_trex_ar_invoices</v>
      </c>
      <c r="B151" s="1" t="s">
        <v>93</v>
      </c>
      <c r="C151" s="1" t="s">
        <v>105</v>
      </c>
      <c r="D151" s="1" t="s">
        <v>1</v>
      </c>
      <c r="E151" s="1" t="s">
        <v>107</v>
      </c>
      <c r="F151">
        <v>1</v>
      </c>
      <c r="G151" s="1"/>
      <c r="H151" s="1" t="s">
        <v>251</v>
      </c>
      <c r="I151" s="1" t="s">
        <v>28</v>
      </c>
      <c r="J151" s="1" t="s">
        <v>31</v>
      </c>
      <c r="K151">
        <v>15</v>
      </c>
    </row>
    <row r="152" spans="1:11" x14ac:dyDescent="0.25">
      <c r="A152" s="18" t="str">
        <f xml:space="preserve">  MapNameLkup</f>
        <v>m_ofs_trex_ar_invoices</v>
      </c>
      <c r="B152" s="1" t="s">
        <v>93</v>
      </c>
      <c r="C152" s="1" t="s">
        <v>105</v>
      </c>
      <c r="D152" s="1" t="s">
        <v>1</v>
      </c>
      <c r="E152" s="1" t="s">
        <v>107</v>
      </c>
      <c r="F152">
        <v>1</v>
      </c>
      <c r="G152" s="1"/>
      <c r="H152" s="1" t="s">
        <v>163</v>
      </c>
      <c r="I152" s="1" t="s">
        <v>28</v>
      </c>
      <c r="J152" s="1" t="s">
        <v>31</v>
      </c>
      <c r="K152">
        <v>16</v>
      </c>
    </row>
    <row r="153" spans="1:11" x14ac:dyDescent="0.25">
      <c r="A153" s="18" t="str">
        <f xml:space="preserve">  MapNameLkup</f>
        <v>m_ofs_trex_ar_invoices</v>
      </c>
      <c r="B153" s="1" t="s">
        <v>93</v>
      </c>
      <c r="C153" s="1" t="s">
        <v>105</v>
      </c>
      <c r="D153" s="1" t="s">
        <v>1</v>
      </c>
      <c r="E153" s="1" t="s">
        <v>107</v>
      </c>
      <c r="F153">
        <v>1</v>
      </c>
      <c r="G153" s="1"/>
      <c r="H153" s="1" t="s">
        <v>164</v>
      </c>
      <c r="I153" s="1" t="s">
        <v>28</v>
      </c>
      <c r="J153" s="1" t="s">
        <v>31</v>
      </c>
      <c r="K153">
        <v>17</v>
      </c>
    </row>
    <row r="154" spans="1:11" x14ac:dyDescent="0.25">
      <c r="A154" s="18" t="str">
        <f xml:space="preserve">  MapNameLkup</f>
        <v>m_ofs_trex_ar_invoices</v>
      </c>
      <c r="B154" s="1" t="s">
        <v>93</v>
      </c>
      <c r="C154" s="1" t="s">
        <v>105</v>
      </c>
      <c r="D154" s="1" t="s">
        <v>1</v>
      </c>
      <c r="E154" s="1" t="s">
        <v>107</v>
      </c>
      <c r="F154">
        <v>1</v>
      </c>
      <c r="G154" s="1"/>
      <c r="H154" s="1" t="s">
        <v>165</v>
      </c>
      <c r="I154" s="1" t="s">
        <v>28</v>
      </c>
      <c r="J154" s="1" t="s">
        <v>31</v>
      </c>
      <c r="K154">
        <v>18</v>
      </c>
    </row>
    <row r="155" spans="1:11" x14ac:dyDescent="0.25">
      <c r="A155" s="18" t="str">
        <f xml:space="preserve">  MapNameLkup</f>
        <v>m_ofs_trex_ar_invoices</v>
      </c>
      <c r="B155" s="1" t="s">
        <v>93</v>
      </c>
      <c r="C155" s="1" t="s">
        <v>105</v>
      </c>
      <c r="D155" s="1" t="s">
        <v>1</v>
      </c>
      <c r="E155" s="1" t="s">
        <v>107</v>
      </c>
      <c r="F155">
        <v>1</v>
      </c>
      <c r="G155" s="1"/>
      <c r="H155" s="1" t="s">
        <v>166</v>
      </c>
      <c r="I155" s="1" t="s">
        <v>28</v>
      </c>
      <c r="J155" s="1" t="s">
        <v>31</v>
      </c>
      <c r="K155">
        <v>19</v>
      </c>
    </row>
    <row r="156" spans="1:11" x14ac:dyDescent="0.25">
      <c r="A156" s="18" t="str">
        <f xml:space="preserve">  MapNameLkup</f>
        <v>m_ofs_trex_ar_invoices</v>
      </c>
      <c r="B156" s="1" t="s">
        <v>93</v>
      </c>
      <c r="C156" s="1" t="s">
        <v>105</v>
      </c>
      <c r="D156" s="1" t="s">
        <v>1</v>
      </c>
      <c r="E156" s="1" t="s">
        <v>107</v>
      </c>
      <c r="F156">
        <v>1</v>
      </c>
      <c r="G156" s="1"/>
      <c r="H156" s="1" t="s">
        <v>167</v>
      </c>
      <c r="I156" s="1" t="s">
        <v>28</v>
      </c>
      <c r="J156" s="1" t="s">
        <v>31</v>
      </c>
      <c r="K156">
        <v>20</v>
      </c>
    </row>
    <row r="157" spans="1:11" x14ac:dyDescent="0.25">
      <c r="A157" s="18" t="str">
        <f xml:space="preserve">  MapNameLkup</f>
        <v>m_ofs_trex_ar_invoices</v>
      </c>
      <c r="B157" s="1" t="s">
        <v>93</v>
      </c>
      <c r="C157" s="1" t="s">
        <v>105</v>
      </c>
      <c r="D157" s="1" t="s">
        <v>1</v>
      </c>
      <c r="E157" s="1" t="s">
        <v>107</v>
      </c>
      <c r="F157">
        <v>1</v>
      </c>
      <c r="G157" s="1"/>
      <c r="H157" s="1" t="s">
        <v>168</v>
      </c>
      <c r="I157" s="1" t="s">
        <v>28</v>
      </c>
      <c r="J157" s="1" t="s">
        <v>31</v>
      </c>
      <c r="K157">
        <v>21</v>
      </c>
    </row>
    <row r="158" spans="1:11" x14ac:dyDescent="0.25">
      <c r="A158" s="18" t="str">
        <f xml:space="preserve">  MapNameLkup</f>
        <v>m_ofs_trex_ar_invoices</v>
      </c>
      <c r="B158" s="1" t="s">
        <v>93</v>
      </c>
      <c r="C158" s="1" t="s">
        <v>105</v>
      </c>
      <c r="D158" s="1" t="s">
        <v>1</v>
      </c>
      <c r="E158" s="1" t="s">
        <v>107</v>
      </c>
      <c r="F158">
        <v>1</v>
      </c>
      <c r="G158" s="1"/>
      <c r="H158" s="1" t="s">
        <v>169</v>
      </c>
      <c r="I158" s="1" t="s">
        <v>28</v>
      </c>
      <c r="J158" s="1" t="s">
        <v>31</v>
      </c>
      <c r="K158">
        <v>22</v>
      </c>
    </row>
    <row r="159" spans="1:11" x14ac:dyDescent="0.25">
      <c r="A159" s="18" t="str">
        <f xml:space="preserve">  MapNameLkup</f>
        <v>m_ofs_trex_ar_invoices</v>
      </c>
      <c r="B159" s="1" t="s">
        <v>93</v>
      </c>
      <c r="C159" s="1" t="s">
        <v>105</v>
      </c>
      <c r="D159" s="1" t="s">
        <v>1</v>
      </c>
      <c r="E159" s="1" t="s">
        <v>107</v>
      </c>
      <c r="F159">
        <v>1</v>
      </c>
      <c r="G159" s="1"/>
      <c r="H159" s="1" t="s">
        <v>170</v>
      </c>
      <c r="I159" s="1" t="s">
        <v>28</v>
      </c>
      <c r="J159" s="1" t="s">
        <v>31</v>
      </c>
      <c r="K159">
        <v>23</v>
      </c>
    </row>
    <row r="160" spans="1:11" x14ac:dyDescent="0.25">
      <c r="A160" s="18" t="str">
        <f xml:space="preserve">  MapNameLkup</f>
        <v>m_ofs_trex_ar_invoices</v>
      </c>
      <c r="B160" s="1" t="s">
        <v>93</v>
      </c>
      <c r="C160" s="1" t="s">
        <v>105</v>
      </c>
      <c r="D160" s="1" t="s">
        <v>1</v>
      </c>
      <c r="E160" s="1" t="s">
        <v>107</v>
      </c>
      <c r="F160">
        <v>1</v>
      </c>
      <c r="G160" s="1"/>
      <c r="H160" s="1" t="s">
        <v>171</v>
      </c>
      <c r="I160" s="1" t="s">
        <v>28</v>
      </c>
      <c r="J160" s="1" t="s">
        <v>31</v>
      </c>
      <c r="K160">
        <v>24</v>
      </c>
    </row>
    <row r="161" spans="1:11" x14ac:dyDescent="0.25">
      <c r="A161" s="18" t="str">
        <f xml:space="preserve">  MapNameLkup</f>
        <v>m_ofs_trex_ar_invoices</v>
      </c>
      <c r="B161" s="1" t="s">
        <v>93</v>
      </c>
      <c r="C161" s="1" t="s">
        <v>105</v>
      </c>
      <c r="D161" s="1" t="s">
        <v>1</v>
      </c>
      <c r="E161" s="1" t="s">
        <v>107</v>
      </c>
      <c r="F161">
        <v>1</v>
      </c>
      <c r="G161" s="1"/>
      <c r="H161" s="1" t="s">
        <v>172</v>
      </c>
      <c r="I161" s="1" t="s">
        <v>28</v>
      </c>
      <c r="J161" s="1" t="s">
        <v>31</v>
      </c>
      <c r="K161">
        <v>25</v>
      </c>
    </row>
    <row r="162" spans="1:11" x14ac:dyDescent="0.25">
      <c r="A162" s="18" t="str">
        <f xml:space="preserve">  MapNameLkup</f>
        <v>m_ofs_trex_ar_invoices</v>
      </c>
      <c r="B162" s="1" t="s">
        <v>93</v>
      </c>
      <c r="C162" s="1" t="s">
        <v>105</v>
      </c>
      <c r="D162" s="1" t="s">
        <v>1</v>
      </c>
      <c r="E162" s="1" t="s">
        <v>107</v>
      </c>
      <c r="F162">
        <v>1</v>
      </c>
      <c r="G162" s="1"/>
      <c r="H162" s="1" t="s">
        <v>173</v>
      </c>
      <c r="I162" s="1" t="s">
        <v>28</v>
      </c>
      <c r="J162" s="1" t="s">
        <v>31</v>
      </c>
      <c r="K162">
        <v>26</v>
      </c>
    </row>
    <row r="163" spans="1:11" x14ac:dyDescent="0.25">
      <c r="A163" s="18" t="str">
        <f xml:space="preserve">  MapNameLkup</f>
        <v>m_ofs_trex_ar_invoices</v>
      </c>
      <c r="B163" s="1" t="s">
        <v>93</v>
      </c>
      <c r="C163" s="1" t="s">
        <v>105</v>
      </c>
      <c r="D163" s="1" t="s">
        <v>1</v>
      </c>
      <c r="E163" s="1" t="s">
        <v>107</v>
      </c>
      <c r="F163">
        <v>1</v>
      </c>
      <c r="G163" s="1"/>
      <c r="H163" s="1" t="s">
        <v>207</v>
      </c>
      <c r="I163" s="1" t="s">
        <v>28</v>
      </c>
      <c r="J163" s="1" t="s">
        <v>31</v>
      </c>
      <c r="K163">
        <v>27</v>
      </c>
    </row>
    <row r="164" spans="1:11" x14ac:dyDescent="0.25">
      <c r="A164" s="18" t="str">
        <f xml:space="preserve">  MapNameLkup</f>
        <v>m_ofs_trex_ar_invoices</v>
      </c>
      <c r="B164" s="1" t="s">
        <v>93</v>
      </c>
      <c r="C164" s="1" t="s">
        <v>105</v>
      </c>
      <c r="D164" s="1" t="s">
        <v>1</v>
      </c>
      <c r="E164" s="1" t="s">
        <v>107</v>
      </c>
      <c r="F164">
        <v>1</v>
      </c>
      <c r="G164" s="1"/>
      <c r="H164" s="1" t="s">
        <v>208</v>
      </c>
      <c r="I164" s="1" t="s">
        <v>28</v>
      </c>
      <c r="J164" s="1" t="s">
        <v>31</v>
      </c>
      <c r="K164">
        <v>28</v>
      </c>
    </row>
    <row r="165" spans="1:11" x14ac:dyDescent="0.25">
      <c r="A165" s="18" t="str">
        <f xml:space="preserve">  MapNameLkup</f>
        <v>m_ofs_trex_ar_invoices</v>
      </c>
      <c r="B165" s="1" t="s">
        <v>93</v>
      </c>
      <c r="C165" s="1" t="s">
        <v>105</v>
      </c>
      <c r="D165" s="1" t="s">
        <v>1</v>
      </c>
      <c r="E165" s="1" t="s">
        <v>107</v>
      </c>
      <c r="F165">
        <v>1</v>
      </c>
      <c r="G165" s="1"/>
      <c r="H165" s="1" t="s">
        <v>209</v>
      </c>
      <c r="I165" s="1" t="s">
        <v>28</v>
      </c>
      <c r="J165" s="1" t="s">
        <v>31</v>
      </c>
      <c r="K165">
        <v>29</v>
      </c>
    </row>
    <row r="166" spans="1:11" x14ac:dyDescent="0.25">
      <c r="A166" s="18" t="str">
        <f xml:space="preserve">  MapNameLkup</f>
        <v>m_ofs_trex_ar_invoices</v>
      </c>
      <c r="B166" s="1" t="s">
        <v>93</v>
      </c>
      <c r="C166" s="1" t="s">
        <v>105</v>
      </c>
      <c r="D166" s="1" t="s">
        <v>1</v>
      </c>
      <c r="E166" s="1" t="s">
        <v>107</v>
      </c>
      <c r="F166">
        <v>1</v>
      </c>
      <c r="G166" s="1"/>
      <c r="H166" s="1" t="s">
        <v>210</v>
      </c>
      <c r="I166" s="1" t="s">
        <v>28</v>
      </c>
      <c r="J166" s="1" t="s">
        <v>31</v>
      </c>
      <c r="K166">
        <v>30</v>
      </c>
    </row>
    <row r="167" spans="1:11" x14ac:dyDescent="0.25">
      <c r="A167" s="18" t="str">
        <f xml:space="preserve">  MapNameLkup</f>
        <v>m_ofs_trex_ar_invoices</v>
      </c>
      <c r="B167" s="1" t="s">
        <v>93</v>
      </c>
      <c r="C167" s="1" t="s">
        <v>105</v>
      </c>
      <c r="D167" s="1" t="s">
        <v>1</v>
      </c>
      <c r="E167" s="1" t="s">
        <v>107</v>
      </c>
      <c r="F167">
        <v>1</v>
      </c>
      <c r="G167" s="1"/>
      <c r="H167" s="1" t="s">
        <v>211</v>
      </c>
      <c r="I167" s="1" t="s">
        <v>28</v>
      </c>
      <c r="J167" s="1" t="s">
        <v>31</v>
      </c>
      <c r="K167">
        <v>31</v>
      </c>
    </row>
    <row r="168" spans="1:11" x14ac:dyDescent="0.25">
      <c r="A168" s="18" t="str">
        <f xml:space="preserve">  MapNameLkup</f>
        <v>m_ofs_trex_ar_invoices</v>
      </c>
      <c r="B168" s="1" t="s">
        <v>93</v>
      </c>
      <c r="C168" s="1" t="s">
        <v>105</v>
      </c>
      <c r="D168" s="1" t="s">
        <v>1</v>
      </c>
      <c r="E168" s="1" t="s">
        <v>107</v>
      </c>
      <c r="F168">
        <v>1</v>
      </c>
      <c r="G168" s="1"/>
      <c r="H168" s="1" t="s">
        <v>252</v>
      </c>
      <c r="I168" s="1" t="s">
        <v>28</v>
      </c>
      <c r="J168" s="1" t="s">
        <v>31</v>
      </c>
      <c r="K168">
        <v>32</v>
      </c>
    </row>
    <row r="169" spans="1:11" x14ac:dyDescent="0.25">
      <c r="A169" s="18" t="str">
        <f xml:space="preserve">  MapNameLkup</f>
        <v>m_ofs_trex_ar_invoices</v>
      </c>
      <c r="B169" s="1" t="s">
        <v>93</v>
      </c>
      <c r="C169" s="1" t="s">
        <v>105</v>
      </c>
      <c r="D169" s="1" t="s">
        <v>1</v>
      </c>
      <c r="E169" s="1" t="s">
        <v>107</v>
      </c>
      <c r="F169">
        <v>1</v>
      </c>
      <c r="G169" s="1"/>
      <c r="H169" s="1" t="s">
        <v>219</v>
      </c>
      <c r="I169" s="1" t="s">
        <v>28</v>
      </c>
      <c r="J169" s="1" t="s">
        <v>31</v>
      </c>
      <c r="K169">
        <v>33</v>
      </c>
    </row>
    <row r="170" spans="1:11" x14ac:dyDescent="0.25">
      <c r="A170" s="18" t="str">
        <f xml:space="preserve">  MapNameLkup</f>
        <v>m_ofs_trex_ar_invoices</v>
      </c>
      <c r="B170" s="1" t="s">
        <v>93</v>
      </c>
      <c r="C170" s="1" t="s">
        <v>105</v>
      </c>
      <c r="D170" s="1" t="s">
        <v>1</v>
      </c>
      <c r="E170" s="1" t="s">
        <v>107</v>
      </c>
      <c r="F170">
        <v>1</v>
      </c>
      <c r="G170" s="1"/>
      <c r="H170" s="1" t="s">
        <v>220</v>
      </c>
      <c r="I170" s="1" t="s">
        <v>28</v>
      </c>
      <c r="J170" s="1" t="s">
        <v>31</v>
      </c>
      <c r="K170">
        <v>34</v>
      </c>
    </row>
    <row r="171" spans="1:11" x14ac:dyDescent="0.25">
      <c r="A171" s="18" t="str">
        <f xml:space="preserve">  MapNameLkup</f>
        <v>m_ofs_trex_ar_invoices</v>
      </c>
      <c r="B171" s="1" t="s">
        <v>93</v>
      </c>
      <c r="C171" s="1" t="s">
        <v>105</v>
      </c>
      <c r="D171" s="1" t="s">
        <v>1</v>
      </c>
      <c r="E171" s="1" t="s">
        <v>107</v>
      </c>
      <c r="F171">
        <v>1</v>
      </c>
      <c r="G171" s="1"/>
      <c r="H171" s="1" t="s">
        <v>221</v>
      </c>
      <c r="I171" s="1" t="s">
        <v>28</v>
      </c>
      <c r="J171" s="1" t="s">
        <v>31</v>
      </c>
      <c r="K171">
        <v>35</v>
      </c>
    </row>
    <row r="172" spans="1:11" x14ac:dyDescent="0.25">
      <c r="A172" s="18" t="str">
        <f xml:space="preserve">  MapNameLkup</f>
        <v>m_ofs_trex_ar_invoices</v>
      </c>
      <c r="B172" s="1" t="s">
        <v>93</v>
      </c>
      <c r="C172" s="1" t="s">
        <v>105</v>
      </c>
      <c r="D172" s="1" t="s">
        <v>1</v>
      </c>
      <c r="E172" s="1" t="s">
        <v>107</v>
      </c>
      <c r="F172">
        <v>1</v>
      </c>
      <c r="G172" s="1"/>
      <c r="H172" s="1" t="s">
        <v>222</v>
      </c>
      <c r="I172" s="1" t="s">
        <v>28</v>
      </c>
      <c r="J172" s="1" t="s">
        <v>31</v>
      </c>
      <c r="K172">
        <v>36</v>
      </c>
    </row>
    <row r="173" spans="1:11" x14ac:dyDescent="0.25">
      <c r="A173" s="18" t="str">
        <f xml:space="preserve">  MapNameLkup</f>
        <v>m_ofs_trex_ar_invoices</v>
      </c>
      <c r="B173" s="1" t="s">
        <v>93</v>
      </c>
      <c r="C173" s="1" t="s">
        <v>105</v>
      </c>
      <c r="D173" s="1" t="s">
        <v>1</v>
      </c>
      <c r="E173" s="1" t="s">
        <v>107</v>
      </c>
      <c r="F173">
        <v>1</v>
      </c>
      <c r="G173" s="1"/>
      <c r="H173" s="1" t="s">
        <v>223</v>
      </c>
      <c r="I173" s="1" t="s">
        <v>28</v>
      </c>
      <c r="J173" s="1" t="s">
        <v>31</v>
      </c>
      <c r="K173">
        <v>37</v>
      </c>
    </row>
    <row r="174" spans="1:11" x14ac:dyDescent="0.25">
      <c r="A174" s="18" t="str">
        <f xml:space="preserve">  MapNameLkup</f>
        <v>m_ofs_trex_ar_invoices</v>
      </c>
      <c r="B174" s="1" t="s">
        <v>93</v>
      </c>
      <c r="C174" s="1" t="s">
        <v>105</v>
      </c>
      <c r="D174" s="1" t="s">
        <v>1</v>
      </c>
      <c r="E174" s="1" t="s">
        <v>107</v>
      </c>
      <c r="F174">
        <v>1</v>
      </c>
      <c r="G174" s="1"/>
      <c r="H174" s="1" t="s">
        <v>224</v>
      </c>
      <c r="I174" s="1" t="s">
        <v>28</v>
      </c>
      <c r="J174" s="1" t="s">
        <v>31</v>
      </c>
      <c r="K174">
        <v>38</v>
      </c>
    </row>
    <row r="175" spans="1:11" x14ac:dyDescent="0.25">
      <c r="A175" s="18" t="str">
        <f xml:space="preserve">  MapNameLkup</f>
        <v>m_ofs_trex_ar_invoices</v>
      </c>
      <c r="B175" s="1" t="s">
        <v>93</v>
      </c>
      <c r="C175" s="1" t="s">
        <v>105</v>
      </c>
      <c r="D175" s="1" t="s">
        <v>1</v>
      </c>
      <c r="E175" s="1" t="s">
        <v>107</v>
      </c>
      <c r="F175">
        <v>1</v>
      </c>
      <c r="G175" s="1"/>
      <c r="H175" s="1" t="s">
        <v>225</v>
      </c>
      <c r="I175" s="1" t="s">
        <v>28</v>
      </c>
      <c r="J175" s="1" t="s">
        <v>31</v>
      </c>
      <c r="K175">
        <v>39</v>
      </c>
    </row>
    <row r="176" spans="1:11" x14ac:dyDescent="0.25">
      <c r="A176" s="18" t="str">
        <f xml:space="preserve">  MapNameLkup</f>
        <v>m_ofs_trex_ar_invoices</v>
      </c>
      <c r="B176" s="1" t="s">
        <v>93</v>
      </c>
      <c r="C176" s="1" t="s">
        <v>105</v>
      </c>
      <c r="D176" s="1" t="s">
        <v>1</v>
      </c>
      <c r="E176" s="1" t="s">
        <v>107</v>
      </c>
      <c r="F176">
        <v>1</v>
      </c>
      <c r="G176" s="1"/>
      <c r="H176" s="1" t="s">
        <v>226</v>
      </c>
      <c r="I176" s="1" t="s">
        <v>28</v>
      </c>
      <c r="J176" s="1" t="s">
        <v>31</v>
      </c>
      <c r="K176">
        <v>40</v>
      </c>
    </row>
    <row r="177" spans="1:11" x14ac:dyDescent="0.25">
      <c r="A177" s="18" t="str">
        <f xml:space="preserve">  MapNameLkup</f>
        <v>m_ofs_trex_ar_invoices</v>
      </c>
      <c r="B177" s="1" t="s">
        <v>93</v>
      </c>
      <c r="C177" s="1" t="s">
        <v>105</v>
      </c>
      <c r="D177" s="1" t="s">
        <v>1</v>
      </c>
      <c r="E177" s="1" t="s">
        <v>107</v>
      </c>
      <c r="F177">
        <v>1</v>
      </c>
      <c r="G177" s="1"/>
      <c r="H177" s="1" t="s">
        <v>227</v>
      </c>
      <c r="I177" s="1" t="s">
        <v>28</v>
      </c>
      <c r="J177" s="1" t="s">
        <v>31</v>
      </c>
      <c r="K177">
        <v>41</v>
      </c>
    </row>
    <row r="178" spans="1:11" x14ac:dyDescent="0.25">
      <c r="A178" s="18" t="str">
        <f xml:space="preserve">  MapNameLkup</f>
        <v>m_ofs_trex_ar_invoices</v>
      </c>
      <c r="B178" s="1" t="s">
        <v>93</v>
      </c>
      <c r="C178" s="1" t="s">
        <v>105</v>
      </c>
      <c r="D178" s="1" t="s">
        <v>1</v>
      </c>
      <c r="E178" s="1" t="s">
        <v>107</v>
      </c>
      <c r="F178">
        <v>1</v>
      </c>
      <c r="G178" s="1"/>
      <c r="H178" s="1" t="s">
        <v>228</v>
      </c>
      <c r="I178" s="1" t="s">
        <v>28</v>
      </c>
      <c r="J178" s="1" t="s">
        <v>31</v>
      </c>
      <c r="K178">
        <v>42</v>
      </c>
    </row>
    <row r="179" spans="1:11" x14ac:dyDescent="0.25">
      <c r="A179" s="18" t="str">
        <f xml:space="preserve">  MapNameLkup</f>
        <v>m_ofs_trex_ar_invoices</v>
      </c>
      <c r="B179" s="1" t="s">
        <v>93</v>
      </c>
      <c r="C179" s="1" t="s">
        <v>105</v>
      </c>
      <c r="D179" s="1" t="s">
        <v>1</v>
      </c>
      <c r="E179" s="1" t="s">
        <v>107</v>
      </c>
      <c r="F179">
        <v>1</v>
      </c>
      <c r="G179" s="1"/>
      <c r="H179" s="1" t="s">
        <v>229</v>
      </c>
      <c r="I179" s="1" t="s">
        <v>28</v>
      </c>
      <c r="J179" s="1" t="s">
        <v>31</v>
      </c>
      <c r="K179">
        <v>43</v>
      </c>
    </row>
    <row r="180" spans="1:11" x14ac:dyDescent="0.25">
      <c r="A180" s="18" t="str">
        <f xml:space="preserve">  MapNameLkup</f>
        <v>m_ofs_trex_ar_invoices</v>
      </c>
      <c r="B180" s="1" t="s">
        <v>93</v>
      </c>
      <c r="C180" s="1" t="s">
        <v>105</v>
      </c>
      <c r="D180" s="1" t="s">
        <v>1</v>
      </c>
      <c r="E180" s="1" t="s">
        <v>107</v>
      </c>
      <c r="F180">
        <v>1</v>
      </c>
      <c r="G180" s="1"/>
      <c r="H180" s="1" t="s">
        <v>230</v>
      </c>
      <c r="I180" s="1" t="s">
        <v>28</v>
      </c>
      <c r="J180" s="1" t="s">
        <v>31</v>
      </c>
      <c r="K180">
        <v>44</v>
      </c>
    </row>
    <row r="181" spans="1:11" x14ac:dyDescent="0.25">
      <c r="A181" s="18" t="str">
        <f xml:space="preserve">  MapNameLkup</f>
        <v>m_ofs_trex_ar_invoices</v>
      </c>
      <c r="B181" s="1" t="s">
        <v>93</v>
      </c>
      <c r="C181" s="1" t="s">
        <v>105</v>
      </c>
      <c r="D181" s="1" t="s">
        <v>1</v>
      </c>
      <c r="E181" s="1" t="s">
        <v>107</v>
      </c>
      <c r="F181">
        <v>1</v>
      </c>
      <c r="G181" s="1"/>
      <c r="H181" s="1" t="s">
        <v>231</v>
      </c>
      <c r="I181" s="1" t="s">
        <v>28</v>
      </c>
      <c r="J181" s="1" t="s">
        <v>31</v>
      </c>
      <c r="K181">
        <v>45</v>
      </c>
    </row>
    <row r="182" spans="1:11" x14ac:dyDescent="0.25">
      <c r="A182" s="18" t="str">
        <f xml:space="preserve">  MapNameLkup</f>
        <v>m_ofs_trex_ar_invoices</v>
      </c>
      <c r="B182" s="1" t="s">
        <v>93</v>
      </c>
      <c r="C182" s="1" t="s">
        <v>105</v>
      </c>
      <c r="D182" s="1" t="s">
        <v>1</v>
      </c>
      <c r="E182" s="1" t="s">
        <v>107</v>
      </c>
      <c r="F182">
        <v>1</v>
      </c>
      <c r="G182" s="1"/>
      <c r="H182" s="1" t="s">
        <v>232</v>
      </c>
      <c r="I182" s="1" t="s">
        <v>28</v>
      </c>
      <c r="J182" s="1" t="s">
        <v>31</v>
      </c>
      <c r="K182">
        <v>46</v>
      </c>
    </row>
    <row r="183" spans="1:11" x14ac:dyDescent="0.25">
      <c r="A183" s="18" t="str">
        <f xml:space="preserve">  MapNameLkup</f>
        <v>m_ofs_trex_ar_invoices</v>
      </c>
      <c r="B183" s="1" t="s">
        <v>93</v>
      </c>
      <c r="C183" s="1" t="s">
        <v>105</v>
      </c>
      <c r="D183" s="1" t="s">
        <v>1</v>
      </c>
      <c r="E183" s="1" t="s">
        <v>107</v>
      </c>
      <c r="F183">
        <v>1</v>
      </c>
      <c r="G183" s="1"/>
      <c r="H183" s="1" t="s">
        <v>233</v>
      </c>
      <c r="I183" s="1" t="s">
        <v>28</v>
      </c>
      <c r="J183" s="1" t="s">
        <v>31</v>
      </c>
      <c r="K183">
        <v>47</v>
      </c>
    </row>
    <row r="184" spans="1:11" x14ac:dyDescent="0.25">
      <c r="A184" s="18" t="str">
        <f xml:space="preserve">  MapNameLkup</f>
        <v>m_ofs_trex_ar_invoices</v>
      </c>
      <c r="B184" s="1" t="s">
        <v>93</v>
      </c>
      <c r="C184" s="1" t="s">
        <v>105</v>
      </c>
      <c r="D184" s="1" t="s">
        <v>1</v>
      </c>
      <c r="E184" s="1" t="s">
        <v>107</v>
      </c>
      <c r="F184">
        <v>1</v>
      </c>
      <c r="G184" s="1"/>
      <c r="H184" s="1" t="s">
        <v>234</v>
      </c>
      <c r="I184" s="1" t="s">
        <v>28</v>
      </c>
      <c r="J184" s="1" t="s">
        <v>31</v>
      </c>
      <c r="K184">
        <v>48</v>
      </c>
    </row>
    <row r="185" spans="1:11" x14ac:dyDescent="0.25">
      <c r="A185" s="18" t="str">
        <f xml:space="preserve">  MapNameLkup</f>
        <v>m_ofs_trex_ar_invoices</v>
      </c>
      <c r="B185" s="1" t="s">
        <v>93</v>
      </c>
      <c r="C185" s="1" t="s">
        <v>105</v>
      </c>
      <c r="D185" s="1" t="s">
        <v>1</v>
      </c>
      <c r="E185" s="1" t="s">
        <v>107</v>
      </c>
      <c r="F185">
        <v>1</v>
      </c>
      <c r="G185" s="1"/>
      <c r="H185" s="1" t="s">
        <v>235</v>
      </c>
      <c r="I185" s="1" t="s">
        <v>28</v>
      </c>
      <c r="J185" s="1" t="s">
        <v>31</v>
      </c>
      <c r="K185">
        <v>49</v>
      </c>
    </row>
    <row r="186" spans="1:11" x14ac:dyDescent="0.25">
      <c r="A186" s="18" t="str">
        <f xml:space="preserve">  MapNameLkup</f>
        <v>m_ofs_trex_ar_invoices</v>
      </c>
      <c r="B186" s="1" t="s">
        <v>93</v>
      </c>
      <c r="C186" s="1" t="s">
        <v>105</v>
      </c>
      <c r="D186" s="1" t="s">
        <v>1</v>
      </c>
      <c r="E186" s="1" t="s">
        <v>107</v>
      </c>
      <c r="F186">
        <v>1</v>
      </c>
      <c r="G186" s="1"/>
      <c r="H186" s="1" t="s">
        <v>236</v>
      </c>
      <c r="I186" s="1" t="s">
        <v>28</v>
      </c>
      <c r="J186" s="1" t="s">
        <v>31</v>
      </c>
      <c r="K186">
        <v>50</v>
      </c>
    </row>
    <row r="187" spans="1:11" x14ac:dyDescent="0.25">
      <c r="A187" s="18" t="str">
        <f xml:space="preserve">  MapNameLkup</f>
        <v>m_ofs_trex_ar_invoices</v>
      </c>
      <c r="B187" s="1" t="s">
        <v>93</v>
      </c>
      <c r="C187" s="1" t="s">
        <v>105</v>
      </c>
      <c r="D187" s="1" t="s">
        <v>1</v>
      </c>
      <c r="E187" s="1" t="s">
        <v>107</v>
      </c>
      <c r="F187">
        <v>1</v>
      </c>
      <c r="G187" s="1"/>
      <c r="H187" s="1" t="s">
        <v>237</v>
      </c>
      <c r="I187" s="1" t="s">
        <v>28</v>
      </c>
      <c r="J187" s="1" t="s">
        <v>31</v>
      </c>
      <c r="K187">
        <v>51</v>
      </c>
    </row>
    <row r="188" spans="1:11" x14ac:dyDescent="0.25">
      <c r="A188" s="18" t="str">
        <f xml:space="preserve">  MapNameLkup</f>
        <v>m_ofs_trex_ar_invoices</v>
      </c>
      <c r="B188" s="1" t="s">
        <v>93</v>
      </c>
      <c r="C188" s="1" t="s">
        <v>105</v>
      </c>
      <c r="D188" s="1" t="s">
        <v>1</v>
      </c>
      <c r="E188" s="1" t="s">
        <v>107</v>
      </c>
      <c r="F188">
        <v>1</v>
      </c>
      <c r="G188" s="1"/>
      <c r="H188" s="1" t="s">
        <v>238</v>
      </c>
      <c r="I188" s="1" t="s">
        <v>28</v>
      </c>
      <c r="J188" s="1" t="s">
        <v>31</v>
      </c>
      <c r="K188">
        <v>52</v>
      </c>
    </row>
    <row r="189" spans="1:11" x14ac:dyDescent="0.25">
      <c r="A189" s="18" t="str">
        <f xml:space="preserve">  MapNameLkup</f>
        <v>m_ofs_trex_ar_invoices</v>
      </c>
      <c r="B189" s="1" t="s">
        <v>93</v>
      </c>
      <c r="C189" s="1" t="s">
        <v>105</v>
      </c>
      <c r="D189" s="1" t="s">
        <v>1</v>
      </c>
      <c r="E189" s="1" t="s">
        <v>107</v>
      </c>
      <c r="F189">
        <v>1</v>
      </c>
      <c r="G189" s="1"/>
      <c r="H189" s="1" t="s">
        <v>239</v>
      </c>
      <c r="I189" s="1" t="s">
        <v>28</v>
      </c>
      <c r="J189" s="1" t="s">
        <v>31</v>
      </c>
      <c r="K189">
        <v>53</v>
      </c>
    </row>
    <row r="190" spans="1:11" x14ac:dyDescent="0.25">
      <c r="A190" s="18" t="str">
        <f xml:space="preserve">  MapNameLkup</f>
        <v>m_ofs_trex_ar_invoices</v>
      </c>
      <c r="B190" s="1" t="s">
        <v>93</v>
      </c>
      <c r="C190" s="1" t="s">
        <v>105</v>
      </c>
      <c r="D190" s="1" t="s">
        <v>1</v>
      </c>
      <c r="E190" s="1" t="s">
        <v>107</v>
      </c>
      <c r="F190">
        <v>1</v>
      </c>
      <c r="G190" s="1"/>
      <c r="H190" s="1" t="s">
        <v>253</v>
      </c>
      <c r="I190" s="1" t="s">
        <v>28</v>
      </c>
      <c r="J190" s="1" t="s">
        <v>31</v>
      </c>
      <c r="K190">
        <v>54</v>
      </c>
    </row>
    <row r="191" spans="1:11" x14ac:dyDescent="0.25">
      <c r="A191" s="18" t="str">
        <f xml:space="preserve">  MapNameLkup</f>
        <v>m_ofs_trex_ar_invoices</v>
      </c>
      <c r="B191" s="1" t="s">
        <v>93</v>
      </c>
      <c r="C191" s="1" t="s">
        <v>105</v>
      </c>
      <c r="D191" s="1" t="s">
        <v>1</v>
      </c>
      <c r="E191" s="1" t="s">
        <v>107</v>
      </c>
      <c r="F191">
        <v>1</v>
      </c>
      <c r="G191" s="1"/>
      <c r="H191" s="1" t="s">
        <v>254</v>
      </c>
      <c r="I191" s="1" t="s">
        <v>28</v>
      </c>
      <c r="J191" s="1" t="s">
        <v>31</v>
      </c>
      <c r="K191">
        <v>55</v>
      </c>
    </row>
    <row r="192" spans="1:11" x14ac:dyDescent="0.25">
      <c r="A192" s="18" t="str">
        <f xml:space="preserve">  MapNameLkup</f>
        <v>m_ofs_trex_ar_invoices</v>
      </c>
      <c r="B192" s="1" t="s">
        <v>93</v>
      </c>
      <c r="C192" s="1" t="s">
        <v>105</v>
      </c>
      <c r="D192" s="1" t="s">
        <v>1</v>
      </c>
      <c r="E192" s="1" t="s">
        <v>107</v>
      </c>
      <c r="F192">
        <v>1</v>
      </c>
      <c r="G192" s="1"/>
      <c r="H192" s="1" t="s">
        <v>255</v>
      </c>
      <c r="I192" s="1" t="s">
        <v>28</v>
      </c>
      <c r="J192" s="1" t="s">
        <v>31</v>
      </c>
      <c r="K192">
        <v>56</v>
      </c>
    </row>
    <row r="193" spans="1:11" x14ac:dyDescent="0.25">
      <c r="A193" s="18" t="str">
        <f xml:space="preserve">  MapNameLkup</f>
        <v>m_ofs_trex_ar_invoices</v>
      </c>
      <c r="B193" s="1" t="s">
        <v>93</v>
      </c>
      <c r="C193" s="1" t="s">
        <v>105</v>
      </c>
      <c r="D193" s="1" t="s">
        <v>1</v>
      </c>
      <c r="E193" s="1" t="s">
        <v>107</v>
      </c>
      <c r="F193">
        <v>1</v>
      </c>
      <c r="G193" s="1"/>
      <c r="H193" s="1" t="s">
        <v>256</v>
      </c>
      <c r="I193" s="1" t="s">
        <v>28</v>
      </c>
      <c r="J193" s="1" t="s">
        <v>31</v>
      </c>
      <c r="K193">
        <v>57</v>
      </c>
    </row>
    <row r="194" spans="1:11" x14ac:dyDescent="0.25">
      <c r="A194" s="18" t="str">
        <f xml:space="preserve">  MapNameLkup</f>
        <v>m_ofs_trex_ar_invoices</v>
      </c>
      <c r="B194" s="1" t="s">
        <v>93</v>
      </c>
      <c r="C194" s="1" t="s">
        <v>105</v>
      </c>
      <c r="D194" s="1" t="s">
        <v>1</v>
      </c>
      <c r="E194" s="1" t="s">
        <v>107</v>
      </c>
      <c r="F194">
        <v>1</v>
      </c>
      <c r="G194" s="1"/>
      <c r="H194" s="1" t="s">
        <v>257</v>
      </c>
      <c r="I194" s="1" t="s">
        <v>28</v>
      </c>
      <c r="J194" s="1" t="s">
        <v>31</v>
      </c>
      <c r="K194">
        <v>58</v>
      </c>
    </row>
    <row r="195" spans="1:11" x14ac:dyDescent="0.25">
      <c r="A195" s="18" t="str">
        <f xml:space="preserve">  MapNameLkup</f>
        <v>m_ofs_trex_ar_invoices</v>
      </c>
      <c r="B195" s="1" t="s">
        <v>93</v>
      </c>
      <c r="C195" s="1" t="s">
        <v>105</v>
      </c>
      <c r="D195" s="1" t="s">
        <v>1</v>
      </c>
      <c r="E195" s="1" t="s">
        <v>107</v>
      </c>
      <c r="F195">
        <v>1</v>
      </c>
      <c r="G195" s="1"/>
      <c r="H195" s="1" t="s">
        <v>258</v>
      </c>
      <c r="I195" s="1" t="s">
        <v>28</v>
      </c>
      <c r="J195" s="1" t="s">
        <v>31</v>
      </c>
      <c r="K195">
        <v>59</v>
      </c>
    </row>
    <row r="196" spans="1:11" x14ac:dyDescent="0.25">
      <c r="A196" s="18" t="str">
        <f xml:space="preserve">  MapNameLkup</f>
        <v>m_ofs_trex_ar_invoices</v>
      </c>
      <c r="B196" s="1" t="s">
        <v>93</v>
      </c>
      <c r="C196" s="1" t="s">
        <v>105</v>
      </c>
      <c r="D196" s="1" t="s">
        <v>1</v>
      </c>
      <c r="E196" s="1" t="s">
        <v>107</v>
      </c>
      <c r="F196">
        <v>1</v>
      </c>
      <c r="G196" s="1"/>
      <c r="H196" s="1" t="s">
        <v>259</v>
      </c>
      <c r="I196" s="1" t="s">
        <v>28</v>
      </c>
      <c r="J196" s="1" t="s">
        <v>31</v>
      </c>
      <c r="K196">
        <v>60</v>
      </c>
    </row>
    <row r="197" spans="1:11" x14ac:dyDescent="0.25">
      <c r="A197" s="18" t="str">
        <f xml:space="preserve">  MapNameLkup</f>
        <v>m_ofs_trex_ar_invoices</v>
      </c>
      <c r="B197" s="1" t="s">
        <v>93</v>
      </c>
      <c r="C197" s="1" t="s">
        <v>105</v>
      </c>
      <c r="D197" s="1" t="s">
        <v>1</v>
      </c>
      <c r="E197" s="1" t="s">
        <v>107</v>
      </c>
      <c r="F197">
        <v>1</v>
      </c>
      <c r="G197" s="1"/>
      <c r="H197" s="1" t="s">
        <v>260</v>
      </c>
      <c r="I197" s="1" t="s">
        <v>28</v>
      </c>
      <c r="J197" s="1" t="s">
        <v>31</v>
      </c>
      <c r="K197">
        <v>61</v>
      </c>
    </row>
    <row r="198" spans="1:11" x14ac:dyDescent="0.25">
      <c r="A198" s="18" t="str">
        <f xml:space="preserve">  MapNameLkup</f>
        <v>m_ofs_trex_ar_invoices</v>
      </c>
      <c r="B198" s="1" t="s">
        <v>93</v>
      </c>
      <c r="C198" s="1" t="s">
        <v>105</v>
      </c>
      <c r="D198" s="1" t="s">
        <v>1</v>
      </c>
      <c r="E198" s="1" t="s">
        <v>107</v>
      </c>
      <c r="F198">
        <v>1</v>
      </c>
      <c r="G198" s="1"/>
      <c r="H198" s="1" t="s">
        <v>261</v>
      </c>
      <c r="I198" s="1" t="s">
        <v>28</v>
      </c>
      <c r="J198" s="1" t="s">
        <v>31</v>
      </c>
      <c r="K198">
        <v>62</v>
      </c>
    </row>
    <row r="199" spans="1:11" x14ac:dyDescent="0.25">
      <c r="A199" s="18" t="str">
        <f xml:space="preserve">  MapNameLkup</f>
        <v>m_ofs_trex_ar_invoices</v>
      </c>
      <c r="B199" s="1" t="s">
        <v>94</v>
      </c>
      <c r="C199" s="1" t="s">
        <v>105</v>
      </c>
      <c r="D199" s="1" t="s">
        <v>1</v>
      </c>
      <c r="E199" s="1" t="s">
        <v>108</v>
      </c>
      <c r="F199">
        <v>1</v>
      </c>
      <c r="G199" s="1"/>
      <c r="H199" s="1" t="s">
        <v>262</v>
      </c>
      <c r="I199" s="1" t="s">
        <v>28</v>
      </c>
      <c r="J199" s="1" t="s">
        <v>32</v>
      </c>
      <c r="K199">
        <v>1</v>
      </c>
    </row>
    <row r="200" spans="1:11" x14ac:dyDescent="0.25">
      <c r="A200" s="18" t="str">
        <f xml:space="preserve">  MapNameLkup</f>
        <v>m_ofs_trex_ar_invoices</v>
      </c>
      <c r="B200" s="1" t="s">
        <v>94</v>
      </c>
      <c r="C200" s="1" t="s">
        <v>105</v>
      </c>
      <c r="D200" s="1" t="s">
        <v>1</v>
      </c>
      <c r="E200" s="1" t="s">
        <v>108</v>
      </c>
      <c r="F200">
        <v>1</v>
      </c>
      <c r="G200" s="1"/>
      <c r="H200" s="1" t="s">
        <v>263</v>
      </c>
      <c r="I200" s="1" t="s">
        <v>28</v>
      </c>
      <c r="J200" s="1" t="s">
        <v>32</v>
      </c>
      <c r="K200">
        <v>2</v>
      </c>
    </row>
    <row r="201" spans="1:11" x14ac:dyDescent="0.25">
      <c r="A201" s="18" t="str">
        <f xml:space="preserve">  MapNameLkup</f>
        <v>m_ofs_trex_ar_invoices</v>
      </c>
      <c r="B201" s="1" t="s">
        <v>94</v>
      </c>
      <c r="C201" s="1" t="s">
        <v>105</v>
      </c>
      <c r="D201" s="1" t="s">
        <v>1</v>
      </c>
      <c r="E201" s="1" t="s">
        <v>108</v>
      </c>
      <c r="F201">
        <v>1</v>
      </c>
      <c r="G201" s="1"/>
      <c r="H201" s="1" t="s">
        <v>264</v>
      </c>
      <c r="I201" s="1" t="s">
        <v>28</v>
      </c>
      <c r="J201" s="1" t="s">
        <v>32</v>
      </c>
      <c r="K201">
        <v>3</v>
      </c>
    </row>
    <row r="202" spans="1:11" x14ac:dyDescent="0.25">
      <c r="A202" s="18" t="str">
        <f xml:space="preserve">  MapNameLkup</f>
        <v>m_ofs_trex_ar_invoices</v>
      </c>
      <c r="B202" s="1" t="s">
        <v>94</v>
      </c>
      <c r="C202" s="1" t="s">
        <v>105</v>
      </c>
      <c r="D202" s="1" t="s">
        <v>1</v>
      </c>
      <c r="E202" s="1" t="s">
        <v>108</v>
      </c>
      <c r="F202">
        <v>1</v>
      </c>
      <c r="G202" s="1"/>
      <c r="H202" s="1" t="s">
        <v>154</v>
      </c>
      <c r="I202" s="1" t="s">
        <v>28</v>
      </c>
      <c r="J202" s="1" t="s">
        <v>32</v>
      </c>
      <c r="K202">
        <v>4</v>
      </c>
    </row>
    <row r="203" spans="1:11" x14ac:dyDescent="0.25">
      <c r="A203" s="18" t="str">
        <f xml:space="preserve">  MapNameLkup</f>
        <v>m_ofs_trex_ar_invoices</v>
      </c>
      <c r="B203" s="1" t="s">
        <v>94</v>
      </c>
      <c r="C203" s="1" t="s">
        <v>105</v>
      </c>
      <c r="D203" s="1" t="s">
        <v>1</v>
      </c>
      <c r="E203" s="1" t="s">
        <v>108</v>
      </c>
      <c r="F203">
        <v>1</v>
      </c>
      <c r="G203" s="1"/>
      <c r="H203" s="1" t="s">
        <v>155</v>
      </c>
      <c r="I203" s="1" t="s">
        <v>28</v>
      </c>
      <c r="J203" s="1" t="s">
        <v>32</v>
      </c>
      <c r="K203">
        <v>5</v>
      </c>
    </row>
    <row r="204" spans="1:11" x14ac:dyDescent="0.25">
      <c r="A204" s="18" t="str">
        <f xml:space="preserve">  MapNameLkup</f>
        <v>m_ofs_trex_ar_invoices</v>
      </c>
      <c r="B204" s="1" t="s">
        <v>94</v>
      </c>
      <c r="C204" s="1" t="s">
        <v>105</v>
      </c>
      <c r="D204" s="1" t="s">
        <v>1</v>
      </c>
      <c r="E204" s="1" t="s">
        <v>108</v>
      </c>
      <c r="F204">
        <v>1</v>
      </c>
      <c r="G204" s="1"/>
      <c r="H204" s="1" t="s">
        <v>156</v>
      </c>
      <c r="I204" s="1" t="s">
        <v>28</v>
      </c>
      <c r="J204" s="1" t="s">
        <v>32</v>
      </c>
      <c r="K204">
        <v>6</v>
      </c>
    </row>
    <row r="205" spans="1:11" x14ac:dyDescent="0.25">
      <c r="A205" s="18" t="str">
        <f xml:space="preserve">  MapNameLkup</f>
        <v>m_ofs_trex_ar_invoices</v>
      </c>
      <c r="B205" s="1" t="s">
        <v>94</v>
      </c>
      <c r="C205" s="1" t="s">
        <v>105</v>
      </c>
      <c r="D205" s="1" t="s">
        <v>1</v>
      </c>
      <c r="E205" s="1" t="s">
        <v>108</v>
      </c>
      <c r="F205">
        <v>1</v>
      </c>
      <c r="G205" s="1"/>
      <c r="H205" s="1" t="s">
        <v>157</v>
      </c>
      <c r="I205" s="1" t="s">
        <v>28</v>
      </c>
      <c r="J205" s="1" t="s">
        <v>32</v>
      </c>
      <c r="K205">
        <v>7</v>
      </c>
    </row>
    <row r="206" spans="1:11" x14ac:dyDescent="0.25">
      <c r="A206" s="18" t="str">
        <f xml:space="preserve">  MapNameLkup</f>
        <v>m_ofs_trex_ar_invoices</v>
      </c>
      <c r="B206" s="1" t="s">
        <v>94</v>
      </c>
      <c r="C206" s="1" t="s">
        <v>105</v>
      </c>
      <c r="D206" s="1" t="s">
        <v>1</v>
      </c>
      <c r="E206" s="1" t="s">
        <v>108</v>
      </c>
      <c r="F206">
        <v>1</v>
      </c>
      <c r="G206" s="1"/>
      <c r="H206" s="1" t="s">
        <v>158</v>
      </c>
      <c r="I206" s="1" t="s">
        <v>28</v>
      </c>
      <c r="J206" s="1" t="s">
        <v>31</v>
      </c>
      <c r="K206">
        <v>8</v>
      </c>
    </row>
    <row r="207" spans="1:11" x14ac:dyDescent="0.25">
      <c r="A207" s="18" t="str">
        <f xml:space="preserve">  MapNameLkup</f>
        <v>m_ofs_trex_ar_invoices</v>
      </c>
      <c r="B207" s="1" t="s">
        <v>94</v>
      </c>
      <c r="C207" s="1" t="s">
        <v>105</v>
      </c>
      <c r="D207" s="1" t="s">
        <v>1</v>
      </c>
      <c r="E207" s="1" t="s">
        <v>108</v>
      </c>
      <c r="F207">
        <v>1</v>
      </c>
      <c r="G207" s="1"/>
      <c r="H207" s="1" t="s">
        <v>265</v>
      </c>
      <c r="I207" s="1" t="s">
        <v>28</v>
      </c>
      <c r="J207" s="1" t="s">
        <v>32</v>
      </c>
      <c r="K207">
        <v>9</v>
      </c>
    </row>
    <row r="208" spans="1:11" x14ac:dyDescent="0.25">
      <c r="A208" s="18" t="str">
        <f xml:space="preserve">  MapNameLkup</f>
        <v>m_ofs_trex_ar_invoices</v>
      </c>
      <c r="B208" s="1" t="s">
        <v>94</v>
      </c>
      <c r="C208" s="1" t="s">
        <v>105</v>
      </c>
      <c r="D208" s="1" t="s">
        <v>1</v>
      </c>
      <c r="E208" s="1" t="s">
        <v>108</v>
      </c>
      <c r="F208">
        <v>1</v>
      </c>
      <c r="G208" s="1"/>
      <c r="H208" s="1" t="s">
        <v>266</v>
      </c>
      <c r="I208" s="1" t="s">
        <v>28</v>
      </c>
      <c r="J208" s="1" t="s">
        <v>32</v>
      </c>
      <c r="K208">
        <v>10</v>
      </c>
    </row>
    <row r="209" spans="1:11" x14ac:dyDescent="0.25">
      <c r="A209" s="18" t="str">
        <f xml:space="preserve">  MapNameLkup</f>
        <v>m_ofs_trex_ar_invoices</v>
      </c>
      <c r="B209" s="1" t="s">
        <v>94</v>
      </c>
      <c r="C209" s="1" t="s">
        <v>105</v>
      </c>
      <c r="D209" s="1" t="s">
        <v>1</v>
      </c>
      <c r="E209" s="1" t="s">
        <v>108</v>
      </c>
      <c r="F209">
        <v>1</v>
      </c>
      <c r="G209" s="1"/>
      <c r="H209" s="1" t="s">
        <v>267</v>
      </c>
      <c r="I209" s="1" t="s">
        <v>28</v>
      </c>
      <c r="J209" s="1" t="s">
        <v>31</v>
      </c>
      <c r="K209">
        <v>11</v>
      </c>
    </row>
    <row r="210" spans="1:11" x14ac:dyDescent="0.25">
      <c r="A210" s="18" t="str">
        <f xml:space="preserve">  MapNameLkup</f>
        <v>m_ofs_trex_ar_invoices</v>
      </c>
      <c r="B210" s="1" t="s">
        <v>94</v>
      </c>
      <c r="C210" s="1" t="s">
        <v>105</v>
      </c>
      <c r="D210" s="1" t="s">
        <v>1</v>
      </c>
      <c r="E210" s="1" t="s">
        <v>108</v>
      </c>
      <c r="F210">
        <v>1</v>
      </c>
      <c r="G210" s="1"/>
      <c r="H210" s="1" t="s">
        <v>268</v>
      </c>
      <c r="I210" s="1" t="s">
        <v>28</v>
      </c>
      <c r="J210" s="1" t="s">
        <v>31</v>
      </c>
      <c r="K210">
        <v>12</v>
      </c>
    </row>
    <row r="211" spans="1:11" x14ac:dyDescent="0.25">
      <c r="A211" s="18" t="str">
        <f xml:space="preserve">  MapNameLkup</f>
        <v>m_ofs_trex_ar_invoices</v>
      </c>
      <c r="B211" s="1" t="s">
        <v>94</v>
      </c>
      <c r="C211" s="1" t="s">
        <v>105</v>
      </c>
      <c r="D211" s="1" t="s">
        <v>1</v>
      </c>
      <c r="E211" s="1" t="s">
        <v>108</v>
      </c>
      <c r="F211">
        <v>1</v>
      </c>
      <c r="G211" s="1"/>
      <c r="H211" s="1" t="s">
        <v>269</v>
      </c>
      <c r="I211" s="1" t="s">
        <v>28</v>
      </c>
      <c r="J211" s="1" t="s">
        <v>31</v>
      </c>
      <c r="K211">
        <v>13</v>
      </c>
    </row>
    <row r="212" spans="1:11" x14ac:dyDescent="0.25">
      <c r="A212" s="18" t="str">
        <f xml:space="preserve">  MapNameLkup</f>
        <v>m_ofs_trex_ar_invoices</v>
      </c>
      <c r="B212" s="1" t="s">
        <v>94</v>
      </c>
      <c r="C212" s="1" t="s">
        <v>105</v>
      </c>
      <c r="D212" s="1" t="s">
        <v>1</v>
      </c>
      <c r="E212" s="1" t="s">
        <v>108</v>
      </c>
      <c r="F212">
        <v>1</v>
      </c>
      <c r="G212" s="1"/>
      <c r="H212" s="1" t="s">
        <v>270</v>
      </c>
      <c r="I212" s="1" t="s">
        <v>28</v>
      </c>
      <c r="J212" s="1" t="s">
        <v>31</v>
      </c>
      <c r="K212">
        <v>14</v>
      </c>
    </row>
    <row r="213" spans="1:11" x14ac:dyDescent="0.25">
      <c r="A213" s="18" t="str">
        <f xml:space="preserve">  MapNameLkup</f>
        <v>m_ofs_trex_ar_invoices</v>
      </c>
      <c r="B213" s="1" t="s">
        <v>94</v>
      </c>
      <c r="C213" s="1" t="s">
        <v>105</v>
      </c>
      <c r="D213" s="1" t="s">
        <v>1</v>
      </c>
      <c r="E213" s="1" t="s">
        <v>108</v>
      </c>
      <c r="F213">
        <v>1</v>
      </c>
      <c r="G213" s="1"/>
      <c r="H213" s="1" t="s">
        <v>271</v>
      </c>
      <c r="I213" s="1" t="s">
        <v>28</v>
      </c>
      <c r="J213" s="1" t="s">
        <v>31</v>
      </c>
      <c r="K213">
        <v>15</v>
      </c>
    </row>
    <row r="214" spans="1:11" x14ac:dyDescent="0.25">
      <c r="A214" s="18" t="str">
        <f xml:space="preserve">  MapNameLkup</f>
        <v>m_ofs_trex_ar_invoices</v>
      </c>
      <c r="B214" s="1" t="s">
        <v>94</v>
      </c>
      <c r="C214" s="1" t="s">
        <v>105</v>
      </c>
      <c r="D214" s="1" t="s">
        <v>1</v>
      </c>
      <c r="E214" s="1" t="s">
        <v>108</v>
      </c>
      <c r="F214">
        <v>1</v>
      </c>
      <c r="G214" s="1"/>
      <c r="H214" s="1" t="s">
        <v>272</v>
      </c>
      <c r="I214" s="1" t="s">
        <v>28</v>
      </c>
      <c r="J214" s="1" t="s">
        <v>31</v>
      </c>
      <c r="K214">
        <v>16</v>
      </c>
    </row>
    <row r="215" spans="1:11" x14ac:dyDescent="0.25">
      <c r="A215" s="18" t="str">
        <f xml:space="preserve">  MapNameLkup</f>
        <v>m_ofs_trex_ar_invoices</v>
      </c>
      <c r="B215" s="1" t="s">
        <v>94</v>
      </c>
      <c r="C215" s="1" t="s">
        <v>105</v>
      </c>
      <c r="D215" s="1" t="s">
        <v>1</v>
      </c>
      <c r="E215" s="1" t="s">
        <v>108</v>
      </c>
      <c r="F215">
        <v>1</v>
      </c>
      <c r="G215" s="1"/>
      <c r="H215" s="1" t="s">
        <v>273</v>
      </c>
      <c r="I215" s="1" t="s">
        <v>28</v>
      </c>
      <c r="J215" s="1" t="s">
        <v>31</v>
      </c>
      <c r="K215">
        <v>17</v>
      </c>
    </row>
    <row r="216" spans="1:11" x14ac:dyDescent="0.25">
      <c r="A216" s="18" t="str">
        <f xml:space="preserve">  MapNameLkup</f>
        <v>m_ofs_trex_ar_invoices</v>
      </c>
      <c r="B216" s="1" t="s">
        <v>94</v>
      </c>
      <c r="C216" s="1" t="s">
        <v>105</v>
      </c>
      <c r="D216" s="1" t="s">
        <v>1</v>
      </c>
      <c r="E216" s="1" t="s">
        <v>108</v>
      </c>
      <c r="F216">
        <v>1</v>
      </c>
      <c r="G216" s="1"/>
      <c r="H216" s="1" t="s">
        <v>274</v>
      </c>
      <c r="I216" s="1" t="s">
        <v>28</v>
      </c>
      <c r="J216" s="1" t="s">
        <v>31</v>
      </c>
      <c r="K216">
        <v>18</v>
      </c>
    </row>
    <row r="217" spans="1:11" x14ac:dyDescent="0.25">
      <c r="A217" s="18" t="str">
        <f xml:space="preserve">  MapNameLkup</f>
        <v>m_ofs_trex_ar_invoices</v>
      </c>
      <c r="B217" s="1" t="s">
        <v>94</v>
      </c>
      <c r="C217" s="1" t="s">
        <v>105</v>
      </c>
      <c r="D217" s="1" t="s">
        <v>1</v>
      </c>
      <c r="E217" s="1" t="s">
        <v>108</v>
      </c>
      <c r="F217">
        <v>1</v>
      </c>
      <c r="G217" s="1"/>
      <c r="H217" s="1" t="s">
        <v>164</v>
      </c>
      <c r="I217" s="1" t="s">
        <v>28</v>
      </c>
      <c r="J217" s="1" t="s">
        <v>31</v>
      </c>
      <c r="K217">
        <v>19</v>
      </c>
    </row>
    <row r="218" spans="1:11" x14ac:dyDescent="0.25">
      <c r="A218" s="18" t="str">
        <f xml:space="preserve">  MapNameLkup</f>
        <v>m_ofs_trex_ar_invoices</v>
      </c>
      <c r="B218" s="1" t="s">
        <v>94</v>
      </c>
      <c r="C218" s="1" t="s">
        <v>105</v>
      </c>
      <c r="D218" s="1" t="s">
        <v>1</v>
      </c>
      <c r="E218" s="1" t="s">
        <v>108</v>
      </c>
      <c r="F218">
        <v>1</v>
      </c>
      <c r="G218" s="1"/>
      <c r="H218" s="1" t="s">
        <v>165</v>
      </c>
      <c r="I218" s="1" t="s">
        <v>28</v>
      </c>
      <c r="J218" s="1" t="s">
        <v>31</v>
      </c>
      <c r="K218">
        <v>20</v>
      </c>
    </row>
    <row r="219" spans="1:11" x14ac:dyDescent="0.25">
      <c r="A219" s="18" t="str">
        <f xml:space="preserve">  MapNameLkup</f>
        <v>m_ofs_trex_ar_invoices</v>
      </c>
      <c r="B219" s="1" t="s">
        <v>94</v>
      </c>
      <c r="C219" s="1" t="s">
        <v>105</v>
      </c>
      <c r="D219" s="1" t="s">
        <v>1</v>
      </c>
      <c r="E219" s="1" t="s">
        <v>108</v>
      </c>
      <c r="F219">
        <v>1</v>
      </c>
      <c r="G219" s="1"/>
      <c r="H219" s="1" t="s">
        <v>166</v>
      </c>
      <c r="I219" s="1" t="s">
        <v>28</v>
      </c>
      <c r="J219" s="1" t="s">
        <v>31</v>
      </c>
      <c r="K219">
        <v>21</v>
      </c>
    </row>
    <row r="220" spans="1:11" x14ac:dyDescent="0.25">
      <c r="A220" s="18" t="str">
        <f xml:space="preserve">  MapNameLkup</f>
        <v>m_ofs_trex_ar_invoices</v>
      </c>
      <c r="B220" s="1" t="s">
        <v>94</v>
      </c>
      <c r="C220" s="1" t="s">
        <v>105</v>
      </c>
      <c r="D220" s="1" t="s">
        <v>1</v>
      </c>
      <c r="E220" s="1" t="s">
        <v>108</v>
      </c>
      <c r="F220">
        <v>1</v>
      </c>
      <c r="G220" s="1"/>
      <c r="H220" s="1" t="s">
        <v>167</v>
      </c>
      <c r="I220" s="1" t="s">
        <v>28</v>
      </c>
      <c r="J220" s="1" t="s">
        <v>31</v>
      </c>
      <c r="K220">
        <v>22</v>
      </c>
    </row>
    <row r="221" spans="1:11" x14ac:dyDescent="0.25">
      <c r="A221" s="18" t="str">
        <f xml:space="preserve">  MapNameLkup</f>
        <v>m_ofs_trex_ar_invoices</v>
      </c>
      <c r="B221" s="1" t="s">
        <v>94</v>
      </c>
      <c r="C221" s="1" t="s">
        <v>105</v>
      </c>
      <c r="D221" s="1" t="s">
        <v>1</v>
      </c>
      <c r="E221" s="1" t="s">
        <v>108</v>
      </c>
      <c r="F221">
        <v>1</v>
      </c>
      <c r="G221" s="1"/>
      <c r="H221" s="1" t="s">
        <v>168</v>
      </c>
      <c r="I221" s="1" t="s">
        <v>28</v>
      </c>
      <c r="J221" s="1" t="s">
        <v>31</v>
      </c>
      <c r="K221">
        <v>23</v>
      </c>
    </row>
    <row r="222" spans="1:11" x14ac:dyDescent="0.25">
      <c r="A222" s="18" t="str">
        <f xml:space="preserve">  MapNameLkup</f>
        <v>m_ofs_trex_ar_invoices</v>
      </c>
      <c r="B222" s="1" t="s">
        <v>94</v>
      </c>
      <c r="C222" s="1" t="s">
        <v>105</v>
      </c>
      <c r="D222" s="1" t="s">
        <v>1</v>
      </c>
      <c r="E222" s="1" t="s">
        <v>108</v>
      </c>
      <c r="F222">
        <v>1</v>
      </c>
      <c r="G222" s="1"/>
      <c r="H222" s="1" t="s">
        <v>169</v>
      </c>
      <c r="I222" s="1" t="s">
        <v>28</v>
      </c>
      <c r="J222" s="1" t="s">
        <v>31</v>
      </c>
      <c r="K222">
        <v>24</v>
      </c>
    </row>
    <row r="223" spans="1:11" x14ac:dyDescent="0.25">
      <c r="A223" s="18" t="str">
        <f xml:space="preserve">  MapNameLkup</f>
        <v>m_ofs_trex_ar_invoices</v>
      </c>
      <c r="B223" s="1" t="s">
        <v>94</v>
      </c>
      <c r="C223" s="1" t="s">
        <v>105</v>
      </c>
      <c r="D223" s="1" t="s">
        <v>1</v>
      </c>
      <c r="E223" s="1" t="s">
        <v>108</v>
      </c>
      <c r="F223">
        <v>1</v>
      </c>
      <c r="G223" s="1"/>
      <c r="H223" s="1" t="s">
        <v>170</v>
      </c>
      <c r="I223" s="1" t="s">
        <v>28</v>
      </c>
      <c r="J223" s="1" t="s">
        <v>31</v>
      </c>
      <c r="K223">
        <v>25</v>
      </c>
    </row>
    <row r="224" spans="1:11" x14ac:dyDescent="0.25">
      <c r="A224" s="18" t="str">
        <f xml:space="preserve">  MapNameLkup</f>
        <v>m_ofs_trex_ar_invoices</v>
      </c>
      <c r="B224" s="1" t="s">
        <v>94</v>
      </c>
      <c r="C224" s="1" t="s">
        <v>105</v>
      </c>
      <c r="D224" s="1" t="s">
        <v>1</v>
      </c>
      <c r="E224" s="1" t="s">
        <v>108</v>
      </c>
      <c r="F224">
        <v>1</v>
      </c>
      <c r="G224" s="1"/>
      <c r="H224" s="1" t="s">
        <v>171</v>
      </c>
      <c r="I224" s="1" t="s">
        <v>28</v>
      </c>
      <c r="J224" s="1" t="s">
        <v>31</v>
      </c>
      <c r="K224">
        <v>26</v>
      </c>
    </row>
    <row r="225" spans="1:11" x14ac:dyDescent="0.25">
      <c r="A225" s="18" t="str">
        <f xml:space="preserve">  MapNameLkup</f>
        <v>m_ofs_trex_ar_invoices</v>
      </c>
      <c r="B225" s="1" t="s">
        <v>94</v>
      </c>
      <c r="C225" s="1" t="s">
        <v>105</v>
      </c>
      <c r="D225" s="1" t="s">
        <v>1</v>
      </c>
      <c r="E225" s="1" t="s">
        <v>108</v>
      </c>
      <c r="F225">
        <v>1</v>
      </c>
      <c r="G225" s="1"/>
      <c r="H225" s="1" t="s">
        <v>172</v>
      </c>
      <c r="I225" s="1" t="s">
        <v>28</v>
      </c>
      <c r="J225" s="1" t="s">
        <v>31</v>
      </c>
      <c r="K225">
        <v>27</v>
      </c>
    </row>
    <row r="226" spans="1:11" x14ac:dyDescent="0.25">
      <c r="A226" s="18" t="str">
        <f xml:space="preserve">  MapNameLkup</f>
        <v>m_ofs_trex_ar_invoices</v>
      </c>
      <c r="B226" s="1" t="s">
        <v>94</v>
      </c>
      <c r="C226" s="1" t="s">
        <v>105</v>
      </c>
      <c r="D226" s="1" t="s">
        <v>1</v>
      </c>
      <c r="E226" s="1" t="s">
        <v>108</v>
      </c>
      <c r="F226">
        <v>1</v>
      </c>
      <c r="G226" s="1"/>
      <c r="H226" s="1" t="s">
        <v>173</v>
      </c>
      <c r="I226" s="1" t="s">
        <v>28</v>
      </c>
      <c r="J226" s="1" t="s">
        <v>31</v>
      </c>
      <c r="K226">
        <v>28</v>
      </c>
    </row>
    <row r="227" spans="1:11" x14ac:dyDescent="0.25">
      <c r="A227" s="18" t="str">
        <f xml:space="preserve">  MapNameLkup</f>
        <v>m_ofs_trex_ar_invoices</v>
      </c>
      <c r="B227" s="1" t="s">
        <v>94</v>
      </c>
      <c r="C227" s="1" t="s">
        <v>105</v>
      </c>
      <c r="D227" s="1" t="s">
        <v>1</v>
      </c>
      <c r="E227" s="1" t="s">
        <v>108</v>
      </c>
      <c r="F227">
        <v>1</v>
      </c>
      <c r="G227" s="1"/>
      <c r="H227" s="1" t="s">
        <v>207</v>
      </c>
      <c r="I227" s="1" t="s">
        <v>28</v>
      </c>
      <c r="J227" s="1" t="s">
        <v>31</v>
      </c>
      <c r="K227">
        <v>29</v>
      </c>
    </row>
    <row r="228" spans="1:11" x14ac:dyDescent="0.25">
      <c r="A228" s="18" t="str">
        <f xml:space="preserve">  MapNameLkup</f>
        <v>m_ofs_trex_ar_invoices</v>
      </c>
      <c r="B228" s="1" t="s">
        <v>94</v>
      </c>
      <c r="C228" s="1" t="s">
        <v>105</v>
      </c>
      <c r="D228" s="1" t="s">
        <v>1</v>
      </c>
      <c r="E228" s="1" t="s">
        <v>108</v>
      </c>
      <c r="F228">
        <v>1</v>
      </c>
      <c r="G228" s="1"/>
      <c r="H228" s="1" t="s">
        <v>208</v>
      </c>
      <c r="I228" s="1" t="s">
        <v>28</v>
      </c>
      <c r="J228" s="1" t="s">
        <v>31</v>
      </c>
      <c r="K228">
        <v>30</v>
      </c>
    </row>
    <row r="229" spans="1:11" x14ac:dyDescent="0.25">
      <c r="A229" s="18" t="str">
        <f xml:space="preserve">  MapNameLkup</f>
        <v>m_ofs_trex_ar_invoices</v>
      </c>
      <c r="B229" s="1" t="s">
        <v>94</v>
      </c>
      <c r="C229" s="1" t="s">
        <v>105</v>
      </c>
      <c r="D229" s="1" t="s">
        <v>1</v>
      </c>
      <c r="E229" s="1" t="s">
        <v>108</v>
      </c>
      <c r="F229">
        <v>1</v>
      </c>
      <c r="G229" s="1"/>
      <c r="H229" s="1" t="s">
        <v>209</v>
      </c>
      <c r="I229" s="1" t="s">
        <v>28</v>
      </c>
      <c r="J229" s="1" t="s">
        <v>31</v>
      </c>
      <c r="K229">
        <v>31</v>
      </c>
    </row>
    <row r="230" spans="1:11" x14ac:dyDescent="0.25">
      <c r="A230" s="18" t="str">
        <f xml:space="preserve">  MapNameLkup</f>
        <v>m_ofs_trex_ar_invoices</v>
      </c>
      <c r="B230" s="1" t="s">
        <v>94</v>
      </c>
      <c r="C230" s="1" t="s">
        <v>105</v>
      </c>
      <c r="D230" s="1" t="s">
        <v>1</v>
      </c>
      <c r="E230" s="1" t="s">
        <v>108</v>
      </c>
      <c r="F230">
        <v>1</v>
      </c>
      <c r="G230" s="1"/>
      <c r="H230" s="1" t="s">
        <v>210</v>
      </c>
      <c r="I230" s="1" t="s">
        <v>28</v>
      </c>
      <c r="J230" s="1" t="s">
        <v>31</v>
      </c>
      <c r="K230">
        <v>32</v>
      </c>
    </row>
    <row r="231" spans="1:11" x14ac:dyDescent="0.25">
      <c r="A231" s="18" t="str">
        <f xml:space="preserve">  MapNameLkup</f>
        <v>m_ofs_trex_ar_invoices</v>
      </c>
      <c r="B231" s="1" t="s">
        <v>94</v>
      </c>
      <c r="C231" s="1" t="s">
        <v>105</v>
      </c>
      <c r="D231" s="1" t="s">
        <v>1</v>
      </c>
      <c r="E231" s="1" t="s">
        <v>108</v>
      </c>
      <c r="F231">
        <v>1</v>
      </c>
      <c r="G231" s="1"/>
      <c r="H231" s="1" t="s">
        <v>211</v>
      </c>
      <c r="I231" s="1" t="s">
        <v>28</v>
      </c>
      <c r="J231" s="1" t="s">
        <v>31</v>
      </c>
      <c r="K231">
        <v>33</v>
      </c>
    </row>
    <row r="232" spans="1:11" x14ac:dyDescent="0.25">
      <c r="A232" s="18" t="str">
        <f xml:space="preserve">  MapNameLkup</f>
        <v>m_ofs_trex_ar_invoices</v>
      </c>
      <c r="B232" s="1" t="s">
        <v>94</v>
      </c>
      <c r="C232" s="1" t="s">
        <v>105</v>
      </c>
      <c r="D232" s="1" t="s">
        <v>1</v>
      </c>
      <c r="E232" s="1" t="s">
        <v>108</v>
      </c>
      <c r="F232">
        <v>1</v>
      </c>
      <c r="G232" s="1"/>
      <c r="H232" s="1" t="s">
        <v>275</v>
      </c>
      <c r="I232" s="1" t="s">
        <v>28</v>
      </c>
      <c r="J232" s="1" t="s">
        <v>31</v>
      </c>
      <c r="K232">
        <v>34</v>
      </c>
    </row>
    <row r="233" spans="1:11" x14ac:dyDescent="0.25">
      <c r="A233" s="18" t="str">
        <f xml:space="preserve">  MapNameLkup</f>
        <v>m_ofs_trex_ar_invoices</v>
      </c>
      <c r="B233" s="1" t="s">
        <v>94</v>
      </c>
      <c r="C233" s="1" t="s">
        <v>105</v>
      </c>
      <c r="D233" s="1" t="s">
        <v>1</v>
      </c>
      <c r="E233" s="1" t="s">
        <v>108</v>
      </c>
      <c r="F233">
        <v>1</v>
      </c>
      <c r="G233" s="1"/>
      <c r="H233" s="1" t="s">
        <v>276</v>
      </c>
      <c r="I233" s="1" t="s">
        <v>28</v>
      </c>
      <c r="J233" s="1" t="s">
        <v>31</v>
      </c>
      <c r="K233">
        <v>35</v>
      </c>
    </row>
    <row r="234" spans="1:11" x14ac:dyDescent="0.25">
      <c r="A234" s="18" t="str">
        <f xml:space="preserve">  MapNameLkup</f>
        <v>m_ofs_trex_ar_invoices</v>
      </c>
      <c r="B234" s="1" t="s">
        <v>94</v>
      </c>
      <c r="C234" s="1" t="s">
        <v>105</v>
      </c>
      <c r="D234" s="1" t="s">
        <v>1</v>
      </c>
      <c r="E234" s="1" t="s">
        <v>108</v>
      </c>
      <c r="F234">
        <v>1</v>
      </c>
      <c r="G234" s="1"/>
      <c r="H234" s="1" t="s">
        <v>277</v>
      </c>
      <c r="I234" s="1" t="s">
        <v>28</v>
      </c>
      <c r="J234" s="1" t="s">
        <v>31</v>
      </c>
      <c r="K234">
        <v>36</v>
      </c>
    </row>
    <row r="235" spans="1:11" x14ac:dyDescent="0.25">
      <c r="A235" s="18" t="str">
        <f xml:space="preserve">  MapNameLkup</f>
        <v>m_ofs_trex_ar_invoices</v>
      </c>
      <c r="B235" s="1" t="s">
        <v>94</v>
      </c>
      <c r="C235" s="1" t="s">
        <v>105</v>
      </c>
      <c r="D235" s="1" t="s">
        <v>1</v>
      </c>
      <c r="E235" s="1" t="s">
        <v>108</v>
      </c>
      <c r="F235">
        <v>1</v>
      </c>
      <c r="G235" s="1"/>
      <c r="H235" s="1" t="s">
        <v>278</v>
      </c>
      <c r="I235" s="1" t="s">
        <v>28</v>
      </c>
      <c r="J235" s="1" t="s">
        <v>31</v>
      </c>
      <c r="K235">
        <v>37</v>
      </c>
    </row>
    <row r="236" spans="1:11" x14ac:dyDescent="0.25">
      <c r="A236" s="18" t="str">
        <f xml:space="preserve">  MapNameLkup</f>
        <v>m_ofs_trex_ar_invoices</v>
      </c>
      <c r="B236" s="1" t="s">
        <v>94</v>
      </c>
      <c r="C236" s="1" t="s">
        <v>105</v>
      </c>
      <c r="D236" s="1" t="s">
        <v>1</v>
      </c>
      <c r="E236" s="1" t="s">
        <v>108</v>
      </c>
      <c r="F236">
        <v>1</v>
      </c>
      <c r="G236" s="1"/>
      <c r="H236" s="1" t="s">
        <v>279</v>
      </c>
      <c r="I236" s="1" t="s">
        <v>28</v>
      </c>
      <c r="J236" s="1" t="s">
        <v>31</v>
      </c>
      <c r="K236">
        <v>38</v>
      </c>
    </row>
    <row r="237" spans="1:11" x14ac:dyDescent="0.25">
      <c r="A237" s="18" t="str">
        <f xml:space="preserve">  MapNameLkup</f>
        <v>m_ofs_trex_ar_invoices</v>
      </c>
      <c r="B237" s="1" t="s">
        <v>94</v>
      </c>
      <c r="C237" s="1" t="s">
        <v>105</v>
      </c>
      <c r="D237" s="1" t="s">
        <v>1</v>
      </c>
      <c r="E237" s="1" t="s">
        <v>108</v>
      </c>
      <c r="F237">
        <v>1</v>
      </c>
      <c r="G237" s="1"/>
      <c r="H237" s="1" t="s">
        <v>280</v>
      </c>
      <c r="I237" s="1" t="s">
        <v>28</v>
      </c>
      <c r="J237" s="1" t="s">
        <v>31</v>
      </c>
      <c r="K237">
        <v>39</v>
      </c>
    </row>
    <row r="238" spans="1:11" x14ac:dyDescent="0.25">
      <c r="A238" s="18" t="str">
        <f xml:space="preserve">  MapNameLkup</f>
        <v>m_ofs_trex_ar_invoices</v>
      </c>
      <c r="B238" s="1" t="s">
        <v>94</v>
      </c>
      <c r="C238" s="1" t="s">
        <v>105</v>
      </c>
      <c r="D238" s="1" t="s">
        <v>1</v>
      </c>
      <c r="E238" s="1" t="s">
        <v>108</v>
      </c>
      <c r="F238">
        <v>1</v>
      </c>
      <c r="G238" s="1"/>
      <c r="H238" s="1" t="s">
        <v>281</v>
      </c>
      <c r="I238" s="1" t="s">
        <v>28</v>
      </c>
      <c r="J238" s="1" t="s">
        <v>31</v>
      </c>
      <c r="K238">
        <v>40</v>
      </c>
    </row>
    <row r="239" spans="1:11" x14ac:dyDescent="0.25">
      <c r="A239" s="18" t="str">
        <f xml:space="preserve">  MapNameLkup</f>
        <v>m_ofs_trex_ar_invoices</v>
      </c>
      <c r="B239" s="1" t="s">
        <v>94</v>
      </c>
      <c r="C239" s="1" t="s">
        <v>105</v>
      </c>
      <c r="D239" s="1" t="s">
        <v>1</v>
      </c>
      <c r="E239" s="1" t="s">
        <v>108</v>
      </c>
      <c r="F239">
        <v>1</v>
      </c>
      <c r="G239" s="1"/>
      <c r="H239" s="1" t="s">
        <v>282</v>
      </c>
      <c r="I239" s="1" t="s">
        <v>28</v>
      </c>
      <c r="J239" s="1" t="s">
        <v>31</v>
      </c>
      <c r="K239">
        <v>41</v>
      </c>
    </row>
    <row r="240" spans="1:11" x14ac:dyDescent="0.25">
      <c r="A240" s="18" t="str">
        <f xml:space="preserve">  MapNameLkup</f>
        <v>m_ofs_trex_ar_invoices</v>
      </c>
      <c r="B240" s="1" t="s">
        <v>94</v>
      </c>
      <c r="C240" s="1" t="s">
        <v>105</v>
      </c>
      <c r="D240" s="1" t="s">
        <v>1</v>
      </c>
      <c r="E240" s="1" t="s">
        <v>108</v>
      </c>
      <c r="F240">
        <v>1</v>
      </c>
      <c r="G240" s="1"/>
      <c r="H240" s="1" t="s">
        <v>283</v>
      </c>
      <c r="I240" s="1" t="s">
        <v>28</v>
      </c>
      <c r="J240" s="1" t="s">
        <v>31</v>
      </c>
      <c r="K240">
        <v>42</v>
      </c>
    </row>
    <row r="241" spans="1:11" x14ac:dyDescent="0.25">
      <c r="A241" s="18" t="str">
        <f xml:space="preserve">  MapNameLkup</f>
        <v>m_ofs_trex_ar_invoices</v>
      </c>
      <c r="B241" s="1" t="s">
        <v>94</v>
      </c>
      <c r="C241" s="1" t="s">
        <v>105</v>
      </c>
      <c r="D241" s="1" t="s">
        <v>1</v>
      </c>
      <c r="E241" s="1" t="s">
        <v>108</v>
      </c>
      <c r="F241">
        <v>1</v>
      </c>
      <c r="G241" s="1"/>
      <c r="H241" s="1" t="s">
        <v>284</v>
      </c>
      <c r="I241" s="1" t="s">
        <v>28</v>
      </c>
      <c r="J241" s="1" t="s">
        <v>31</v>
      </c>
      <c r="K241">
        <v>43</v>
      </c>
    </row>
    <row r="242" spans="1:11" x14ac:dyDescent="0.25">
      <c r="A242" s="18" t="str">
        <f xml:space="preserve">  MapNameLkup</f>
        <v>m_ofs_trex_ar_invoices</v>
      </c>
      <c r="B242" s="1" t="s">
        <v>94</v>
      </c>
      <c r="C242" s="1" t="s">
        <v>105</v>
      </c>
      <c r="D242" s="1" t="s">
        <v>1</v>
      </c>
      <c r="E242" s="1" t="s">
        <v>108</v>
      </c>
      <c r="F242">
        <v>1</v>
      </c>
      <c r="G242" s="1"/>
      <c r="H242" s="1" t="s">
        <v>285</v>
      </c>
      <c r="I242" s="1" t="s">
        <v>28</v>
      </c>
      <c r="J242" s="1" t="s">
        <v>31</v>
      </c>
      <c r="K242">
        <v>44</v>
      </c>
    </row>
    <row r="243" spans="1:11" x14ac:dyDescent="0.25">
      <c r="A243" s="18" t="str">
        <f xml:space="preserve">  MapNameLkup</f>
        <v>m_ofs_trex_ar_invoices</v>
      </c>
      <c r="B243" s="1" t="s">
        <v>94</v>
      </c>
      <c r="C243" s="1" t="s">
        <v>105</v>
      </c>
      <c r="D243" s="1" t="s">
        <v>1</v>
      </c>
      <c r="E243" s="1" t="s">
        <v>108</v>
      </c>
      <c r="F243">
        <v>1</v>
      </c>
      <c r="G243" s="1"/>
      <c r="H243" s="1" t="s">
        <v>286</v>
      </c>
      <c r="I243" s="1" t="s">
        <v>28</v>
      </c>
      <c r="J243" s="1" t="s">
        <v>31</v>
      </c>
      <c r="K243">
        <v>45</v>
      </c>
    </row>
    <row r="244" spans="1:11" x14ac:dyDescent="0.25">
      <c r="A244" s="18" t="str">
        <f xml:space="preserve">  MapNameLkup</f>
        <v>m_ofs_trex_ar_invoices</v>
      </c>
      <c r="B244" s="1" t="s">
        <v>94</v>
      </c>
      <c r="C244" s="1" t="s">
        <v>105</v>
      </c>
      <c r="D244" s="1" t="s">
        <v>1</v>
      </c>
      <c r="E244" s="1" t="s">
        <v>108</v>
      </c>
      <c r="F244">
        <v>1</v>
      </c>
      <c r="G244" s="1"/>
      <c r="H244" s="1" t="s">
        <v>287</v>
      </c>
      <c r="I244" s="1" t="s">
        <v>28</v>
      </c>
      <c r="J244" s="1" t="s">
        <v>31</v>
      </c>
      <c r="K244">
        <v>46</v>
      </c>
    </row>
    <row r="245" spans="1:11" x14ac:dyDescent="0.25">
      <c r="A245" s="18" t="str">
        <f xml:space="preserve">  MapNameLkup</f>
        <v>m_ofs_trex_ar_invoices</v>
      </c>
      <c r="B245" s="1" t="s">
        <v>94</v>
      </c>
      <c r="C245" s="1" t="s">
        <v>105</v>
      </c>
      <c r="D245" s="1" t="s">
        <v>1</v>
      </c>
      <c r="E245" s="1" t="s">
        <v>108</v>
      </c>
      <c r="F245">
        <v>1</v>
      </c>
      <c r="G245" s="1"/>
      <c r="H245" s="1" t="s">
        <v>288</v>
      </c>
      <c r="I245" s="1" t="s">
        <v>28</v>
      </c>
      <c r="J245" s="1" t="s">
        <v>31</v>
      </c>
      <c r="K245">
        <v>47</v>
      </c>
    </row>
    <row r="246" spans="1:11" x14ac:dyDescent="0.25">
      <c r="A246" s="18" t="str">
        <f xml:space="preserve">  MapNameLkup</f>
        <v>m_ofs_trex_ar_invoices</v>
      </c>
      <c r="B246" s="1" t="s">
        <v>94</v>
      </c>
      <c r="C246" s="1" t="s">
        <v>105</v>
      </c>
      <c r="D246" s="1" t="s">
        <v>1</v>
      </c>
      <c r="E246" s="1" t="s">
        <v>108</v>
      </c>
      <c r="F246">
        <v>1</v>
      </c>
      <c r="G246" s="1"/>
      <c r="H246" s="1" t="s">
        <v>289</v>
      </c>
      <c r="I246" s="1" t="s">
        <v>28</v>
      </c>
      <c r="J246" s="1" t="s">
        <v>31</v>
      </c>
      <c r="K246">
        <v>48</v>
      </c>
    </row>
    <row r="247" spans="1:11" x14ac:dyDescent="0.25">
      <c r="A247" s="18" t="str">
        <f xml:space="preserve">  MapNameLkup</f>
        <v>m_ofs_trex_ar_invoices</v>
      </c>
      <c r="B247" s="1" t="s">
        <v>94</v>
      </c>
      <c r="C247" s="1" t="s">
        <v>105</v>
      </c>
      <c r="D247" s="1" t="s">
        <v>1</v>
      </c>
      <c r="E247" s="1" t="s">
        <v>108</v>
      </c>
      <c r="F247">
        <v>1</v>
      </c>
      <c r="G247" s="1"/>
      <c r="H247" s="1" t="s">
        <v>290</v>
      </c>
      <c r="I247" s="1" t="s">
        <v>28</v>
      </c>
      <c r="J247" s="1" t="s">
        <v>31</v>
      </c>
      <c r="K247">
        <v>49</v>
      </c>
    </row>
    <row r="248" spans="1:11" x14ac:dyDescent="0.25">
      <c r="A248" s="18" t="str">
        <f xml:space="preserve">  MapNameLkup</f>
        <v>m_ofs_trex_ar_invoices</v>
      </c>
      <c r="B248" s="1" t="s">
        <v>94</v>
      </c>
      <c r="C248" s="1" t="s">
        <v>105</v>
      </c>
      <c r="D248" s="1" t="s">
        <v>1</v>
      </c>
      <c r="E248" s="1" t="s">
        <v>108</v>
      </c>
      <c r="F248">
        <v>1</v>
      </c>
      <c r="G248" s="1"/>
      <c r="H248" s="1" t="s">
        <v>291</v>
      </c>
      <c r="I248" s="1" t="s">
        <v>28</v>
      </c>
      <c r="J248" s="1" t="s">
        <v>31</v>
      </c>
      <c r="K248">
        <v>50</v>
      </c>
    </row>
    <row r="249" spans="1:11" x14ac:dyDescent="0.25">
      <c r="A249" s="18" t="str">
        <f xml:space="preserve">  MapNameLkup</f>
        <v>m_ofs_trex_ar_invoices</v>
      </c>
      <c r="B249" s="1" t="s">
        <v>94</v>
      </c>
      <c r="C249" s="1" t="s">
        <v>105</v>
      </c>
      <c r="D249" s="1" t="s">
        <v>1</v>
      </c>
      <c r="E249" s="1" t="s">
        <v>108</v>
      </c>
      <c r="F249">
        <v>1</v>
      </c>
      <c r="G249" s="1"/>
      <c r="H249" s="1" t="s">
        <v>292</v>
      </c>
      <c r="I249" s="1" t="s">
        <v>28</v>
      </c>
      <c r="J249" s="1" t="s">
        <v>31</v>
      </c>
      <c r="K249">
        <v>51</v>
      </c>
    </row>
    <row r="250" spans="1:11" x14ac:dyDescent="0.25">
      <c r="A250" s="18" t="str">
        <f xml:space="preserve">  MapNameLkup</f>
        <v>m_ofs_trex_ar_invoices</v>
      </c>
      <c r="B250" s="1" t="s">
        <v>94</v>
      </c>
      <c r="C250" s="1" t="s">
        <v>105</v>
      </c>
      <c r="D250" s="1" t="s">
        <v>1</v>
      </c>
      <c r="E250" s="1" t="s">
        <v>108</v>
      </c>
      <c r="F250">
        <v>1</v>
      </c>
      <c r="G250" s="1"/>
      <c r="H250" s="1" t="s">
        <v>293</v>
      </c>
      <c r="I250" s="1" t="s">
        <v>28</v>
      </c>
      <c r="J250" s="1" t="s">
        <v>31</v>
      </c>
      <c r="K250">
        <v>52</v>
      </c>
    </row>
    <row r="251" spans="1:11" x14ac:dyDescent="0.25">
      <c r="A251" s="18" t="str">
        <f xml:space="preserve">  MapNameLkup</f>
        <v>m_ofs_trex_ar_invoices</v>
      </c>
      <c r="B251" s="1" t="s">
        <v>94</v>
      </c>
      <c r="C251" s="1" t="s">
        <v>105</v>
      </c>
      <c r="D251" s="1" t="s">
        <v>1</v>
      </c>
      <c r="E251" s="1" t="s">
        <v>108</v>
      </c>
      <c r="F251">
        <v>1</v>
      </c>
      <c r="G251" s="1"/>
      <c r="H251" s="1" t="s">
        <v>294</v>
      </c>
      <c r="I251" s="1" t="s">
        <v>28</v>
      </c>
      <c r="J251" s="1" t="s">
        <v>31</v>
      </c>
      <c r="K251">
        <v>53</v>
      </c>
    </row>
    <row r="252" spans="1:11" x14ac:dyDescent="0.25">
      <c r="A252" s="18" t="str">
        <f xml:space="preserve">  MapNameLkup</f>
        <v>m_ofs_trex_ar_invoices</v>
      </c>
      <c r="B252" s="1" t="s">
        <v>94</v>
      </c>
      <c r="C252" s="1" t="s">
        <v>105</v>
      </c>
      <c r="D252" s="1" t="s">
        <v>1</v>
      </c>
      <c r="E252" s="1" t="s">
        <v>108</v>
      </c>
      <c r="F252">
        <v>1</v>
      </c>
      <c r="G252" s="1"/>
      <c r="H252" s="1" t="s">
        <v>295</v>
      </c>
      <c r="I252" s="1" t="s">
        <v>28</v>
      </c>
      <c r="J252" s="1" t="s">
        <v>31</v>
      </c>
      <c r="K252">
        <v>54</v>
      </c>
    </row>
    <row r="253" spans="1:11" x14ac:dyDescent="0.25">
      <c r="A253" s="18" t="str">
        <f xml:space="preserve">  MapNameLkup</f>
        <v>m_ofs_trex_ar_invoices</v>
      </c>
      <c r="B253" s="1" t="s">
        <v>94</v>
      </c>
      <c r="C253" s="1" t="s">
        <v>105</v>
      </c>
      <c r="D253" s="1" t="s">
        <v>1</v>
      </c>
      <c r="E253" s="1" t="s">
        <v>108</v>
      </c>
      <c r="F253">
        <v>1</v>
      </c>
      <c r="G253" s="1"/>
      <c r="H253" s="1" t="s">
        <v>296</v>
      </c>
      <c r="I253" s="1" t="s">
        <v>28</v>
      </c>
      <c r="J253" s="1" t="s">
        <v>31</v>
      </c>
      <c r="K253">
        <v>55</v>
      </c>
    </row>
    <row r="254" spans="1:11" x14ac:dyDescent="0.25">
      <c r="A254" s="18" t="str">
        <f xml:space="preserve">  MapNameLkup</f>
        <v>m_ofs_trex_ar_invoices</v>
      </c>
      <c r="B254" s="1" t="s">
        <v>94</v>
      </c>
      <c r="C254" s="1" t="s">
        <v>105</v>
      </c>
      <c r="D254" s="1" t="s">
        <v>1</v>
      </c>
      <c r="E254" s="1" t="s">
        <v>108</v>
      </c>
      <c r="F254">
        <v>1</v>
      </c>
      <c r="G254" s="1"/>
      <c r="H254" s="1" t="s">
        <v>297</v>
      </c>
      <c r="I254" s="1" t="s">
        <v>28</v>
      </c>
      <c r="J254" s="1" t="s">
        <v>31</v>
      </c>
      <c r="K254">
        <v>56</v>
      </c>
    </row>
    <row r="255" spans="1:11" x14ac:dyDescent="0.25">
      <c r="A255" s="18" t="str">
        <f xml:space="preserve">  MapNameLkup</f>
        <v>m_ofs_trex_ar_invoices</v>
      </c>
      <c r="B255" s="1" t="s">
        <v>94</v>
      </c>
      <c r="C255" s="1" t="s">
        <v>105</v>
      </c>
      <c r="D255" s="1" t="s">
        <v>1</v>
      </c>
      <c r="E255" s="1" t="s">
        <v>108</v>
      </c>
      <c r="F255">
        <v>1</v>
      </c>
      <c r="G255" s="1"/>
      <c r="H255" s="1" t="s">
        <v>298</v>
      </c>
      <c r="I255" s="1" t="s">
        <v>28</v>
      </c>
      <c r="J255" s="1" t="s">
        <v>31</v>
      </c>
      <c r="K255">
        <v>57</v>
      </c>
    </row>
    <row r="256" spans="1:11" x14ac:dyDescent="0.25">
      <c r="A256" s="18" t="str">
        <f xml:space="preserve">  MapNameLkup</f>
        <v>m_ofs_trex_ar_invoices</v>
      </c>
      <c r="B256" s="1" t="s">
        <v>94</v>
      </c>
      <c r="C256" s="1" t="s">
        <v>105</v>
      </c>
      <c r="D256" s="1" t="s">
        <v>1</v>
      </c>
      <c r="E256" s="1" t="s">
        <v>108</v>
      </c>
      <c r="F256">
        <v>1</v>
      </c>
      <c r="G256" s="1"/>
      <c r="H256" s="1" t="s">
        <v>299</v>
      </c>
      <c r="I256" s="1" t="s">
        <v>28</v>
      </c>
      <c r="J256" s="1" t="s">
        <v>31</v>
      </c>
      <c r="K256">
        <v>58</v>
      </c>
    </row>
    <row r="257" spans="1:11" x14ac:dyDescent="0.25">
      <c r="A257" s="18" t="str">
        <f xml:space="preserve">  MapNameLkup</f>
        <v>m_ofs_trex_ar_invoices</v>
      </c>
      <c r="B257" s="1" t="s">
        <v>94</v>
      </c>
      <c r="C257" s="1" t="s">
        <v>105</v>
      </c>
      <c r="D257" s="1" t="s">
        <v>1</v>
      </c>
      <c r="E257" s="1" t="s">
        <v>108</v>
      </c>
      <c r="F257">
        <v>1</v>
      </c>
      <c r="G257" s="1"/>
      <c r="H257" s="1" t="s">
        <v>300</v>
      </c>
      <c r="I257" s="1" t="s">
        <v>28</v>
      </c>
      <c r="J257" s="1" t="s">
        <v>31</v>
      </c>
      <c r="K257">
        <v>59</v>
      </c>
    </row>
    <row r="258" spans="1:11" x14ac:dyDescent="0.25">
      <c r="A258" s="18" t="str">
        <f xml:space="preserve">  MapNameLkup</f>
        <v>m_ofs_trex_ar_invoices</v>
      </c>
      <c r="B258" s="1" t="s">
        <v>94</v>
      </c>
      <c r="C258" s="1" t="s">
        <v>105</v>
      </c>
      <c r="D258" s="1" t="s">
        <v>1</v>
      </c>
      <c r="E258" s="1" t="s">
        <v>108</v>
      </c>
      <c r="F258">
        <v>1</v>
      </c>
      <c r="G258" s="1"/>
      <c r="H258" s="1" t="s">
        <v>301</v>
      </c>
      <c r="I258" s="1" t="s">
        <v>28</v>
      </c>
      <c r="J258" s="1" t="s">
        <v>31</v>
      </c>
      <c r="K258">
        <v>60</v>
      </c>
    </row>
    <row r="259" spans="1:11" x14ac:dyDescent="0.25">
      <c r="A259" s="18" t="str">
        <f xml:space="preserve">  MapNameLkup</f>
        <v>m_ofs_trex_ar_invoices</v>
      </c>
      <c r="B259" s="1" t="s">
        <v>94</v>
      </c>
      <c r="C259" s="1" t="s">
        <v>105</v>
      </c>
      <c r="D259" s="1" t="s">
        <v>1</v>
      </c>
      <c r="E259" s="1" t="s">
        <v>108</v>
      </c>
      <c r="F259">
        <v>1</v>
      </c>
      <c r="G259" s="1"/>
      <c r="H259" s="1" t="s">
        <v>302</v>
      </c>
      <c r="I259" s="1" t="s">
        <v>28</v>
      </c>
      <c r="J259" s="1" t="s">
        <v>31</v>
      </c>
      <c r="K259">
        <v>61</v>
      </c>
    </row>
    <row r="260" spans="1:11" x14ac:dyDescent="0.25">
      <c r="A260" s="18" t="str">
        <f xml:space="preserve">  MapNameLkup</f>
        <v>m_ofs_trex_ar_invoices</v>
      </c>
      <c r="B260" s="1" t="s">
        <v>94</v>
      </c>
      <c r="C260" s="1" t="s">
        <v>105</v>
      </c>
      <c r="D260" s="1" t="s">
        <v>1</v>
      </c>
      <c r="E260" s="1" t="s">
        <v>108</v>
      </c>
      <c r="F260">
        <v>1</v>
      </c>
      <c r="G260" s="1"/>
      <c r="H260" s="1" t="s">
        <v>303</v>
      </c>
      <c r="I260" s="1" t="s">
        <v>28</v>
      </c>
      <c r="J260" s="1" t="s">
        <v>31</v>
      </c>
      <c r="K260">
        <v>62</v>
      </c>
    </row>
    <row r="261" spans="1:11" x14ac:dyDescent="0.25">
      <c r="A261" s="18" t="str">
        <f xml:space="preserve">  MapNameLkup</f>
        <v>m_ofs_trex_ar_invoices</v>
      </c>
      <c r="B261" s="1" t="s">
        <v>94</v>
      </c>
      <c r="C261" s="1" t="s">
        <v>105</v>
      </c>
      <c r="D261" s="1" t="s">
        <v>1</v>
      </c>
      <c r="E261" s="1" t="s">
        <v>108</v>
      </c>
      <c r="F261">
        <v>1</v>
      </c>
      <c r="G261" s="1"/>
      <c r="H261" s="1" t="s">
        <v>304</v>
      </c>
      <c r="I261" s="1" t="s">
        <v>28</v>
      </c>
      <c r="J261" s="1" t="s">
        <v>31</v>
      </c>
      <c r="K261">
        <v>63</v>
      </c>
    </row>
    <row r="262" spans="1:11" x14ac:dyDescent="0.25">
      <c r="A262" s="18" t="str">
        <f xml:space="preserve">  MapNameLkup</f>
        <v>m_ofs_trex_ar_invoices</v>
      </c>
      <c r="B262" s="1" t="s">
        <v>94</v>
      </c>
      <c r="C262" s="1" t="s">
        <v>105</v>
      </c>
      <c r="D262" s="1" t="s">
        <v>1</v>
      </c>
      <c r="E262" s="1" t="s">
        <v>108</v>
      </c>
      <c r="F262">
        <v>1</v>
      </c>
      <c r="G262" s="1"/>
      <c r="H262" s="1" t="s">
        <v>305</v>
      </c>
      <c r="I262" s="1" t="s">
        <v>28</v>
      </c>
      <c r="J262" s="1" t="s">
        <v>31</v>
      </c>
      <c r="K262">
        <v>64</v>
      </c>
    </row>
    <row r="263" spans="1:11" x14ac:dyDescent="0.25">
      <c r="A263" s="18" t="str">
        <f xml:space="preserve">  MapNameLkup</f>
        <v>m_ofs_trex_ar_invoices</v>
      </c>
      <c r="B263" s="1" t="s">
        <v>94</v>
      </c>
      <c r="C263" s="1" t="s">
        <v>105</v>
      </c>
      <c r="D263" s="1" t="s">
        <v>1</v>
      </c>
      <c r="E263" s="1" t="s">
        <v>108</v>
      </c>
      <c r="F263">
        <v>1</v>
      </c>
      <c r="G263" s="1"/>
      <c r="H263" s="1" t="s">
        <v>306</v>
      </c>
      <c r="I263" s="1" t="s">
        <v>28</v>
      </c>
      <c r="J263" s="1" t="s">
        <v>31</v>
      </c>
      <c r="K263">
        <v>65</v>
      </c>
    </row>
    <row r="264" spans="1:11" x14ac:dyDescent="0.25">
      <c r="A264" s="18" t="str">
        <f xml:space="preserve">  MapNameLkup</f>
        <v>m_ofs_trex_ar_invoices</v>
      </c>
      <c r="B264" s="1" t="s">
        <v>94</v>
      </c>
      <c r="C264" s="1" t="s">
        <v>105</v>
      </c>
      <c r="D264" s="1" t="s">
        <v>1</v>
      </c>
      <c r="E264" s="1" t="s">
        <v>108</v>
      </c>
      <c r="F264">
        <v>1</v>
      </c>
      <c r="G264" s="1"/>
      <c r="H264" s="1" t="s">
        <v>307</v>
      </c>
      <c r="I264" s="1" t="s">
        <v>28</v>
      </c>
      <c r="J264" s="1" t="s">
        <v>31</v>
      </c>
      <c r="K264">
        <v>66</v>
      </c>
    </row>
    <row r="265" spans="1:11" x14ac:dyDescent="0.25">
      <c r="A265" s="18" t="str">
        <f xml:space="preserve">  MapNameLkup</f>
        <v>m_ofs_trex_ar_invoices</v>
      </c>
      <c r="B265" s="1" t="s">
        <v>94</v>
      </c>
      <c r="C265" s="1" t="s">
        <v>105</v>
      </c>
      <c r="D265" s="1" t="s">
        <v>1</v>
      </c>
      <c r="E265" s="1" t="s">
        <v>108</v>
      </c>
      <c r="F265">
        <v>1</v>
      </c>
      <c r="G265" s="1"/>
      <c r="H265" s="1" t="s">
        <v>308</v>
      </c>
      <c r="I265" s="1" t="s">
        <v>28</v>
      </c>
      <c r="J265" s="1" t="s">
        <v>31</v>
      </c>
      <c r="K265">
        <v>67</v>
      </c>
    </row>
    <row r="266" spans="1:11" x14ac:dyDescent="0.25">
      <c r="A266" s="18" t="str">
        <f xml:space="preserve">  MapNameLkup</f>
        <v>m_ofs_trex_ar_invoices</v>
      </c>
      <c r="B266" s="1" t="s">
        <v>94</v>
      </c>
      <c r="C266" s="1" t="s">
        <v>105</v>
      </c>
      <c r="D266" s="1" t="s">
        <v>1</v>
      </c>
      <c r="E266" s="1" t="s">
        <v>108</v>
      </c>
      <c r="F266">
        <v>1</v>
      </c>
      <c r="G266" s="1"/>
      <c r="H266" s="1" t="s">
        <v>309</v>
      </c>
      <c r="I266" s="1" t="s">
        <v>28</v>
      </c>
      <c r="J266" s="1" t="s">
        <v>31</v>
      </c>
      <c r="K266">
        <v>68</v>
      </c>
    </row>
    <row r="267" spans="1:11" x14ac:dyDescent="0.25">
      <c r="A267" s="18" t="str">
        <f xml:space="preserve">  MapNameLkup</f>
        <v>m_ofs_trex_ar_invoices</v>
      </c>
      <c r="B267" s="1" t="s">
        <v>94</v>
      </c>
      <c r="C267" s="1" t="s">
        <v>105</v>
      </c>
      <c r="D267" s="1" t="s">
        <v>1</v>
      </c>
      <c r="E267" s="1" t="s">
        <v>108</v>
      </c>
      <c r="F267">
        <v>1</v>
      </c>
      <c r="G267" s="1"/>
      <c r="H267" s="1" t="s">
        <v>310</v>
      </c>
      <c r="I267" s="1" t="s">
        <v>28</v>
      </c>
      <c r="J267" s="1" t="s">
        <v>31</v>
      </c>
      <c r="K267">
        <v>69</v>
      </c>
    </row>
    <row r="268" spans="1:11" x14ac:dyDescent="0.25">
      <c r="A268" s="18" t="str">
        <f xml:space="preserve">  MapNameLkup</f>
        <v>m_ofs_trex_ar_invoices</v>
      </c>
      <c r="B268" s="1" t="s">
        <v>95</v>
      </c>
      <c r="C268" s="1" t="s">
        <v>105</v>
      </c>
      <c r="D268" s="1" t="s">
        <v>1</v>
      </c>
      <c r="E268" s="1" t="s">
        <v>107</v>
      </c>
      <c r="F268">
        <v>1</v>
      </c>
      <c r="G268" s="1"/>
      <c r="H268" s="1" t="s">
        <v>311</v>
      </c>
      <c r="I268" s="1" t="s">
        <v>28</v>
      </c>
      <c r="J268" s="1" t="s">
        <v>32</v>
      </c>
      <c r="K268">
        <v>1</v>
      </c>
    </row>
    <row r="269" spans="1:11" x14ac:dyDescent="0.25">
      <c r="A269" s="18" t="str">
        <f xml:space="preserve">  MapNameLkup</f>
        <v>m_ofs_trex_ar_invoices</v>
      </c>
      <c r="B269" s="1" t="s">
        <v>95</v>
      </c>
      <c r="C269" s="1" t="s">
        <v>105</v>
      </c>
      <c r="D269" s="1" t="s">
        <v>1</v>
      </c>
      <c r="E269" s="1" t="s">
        <v>107</v>
      </c>
      <c r="F269">
        <v>1</v>
      </c>
      <c r="G269" s="1"/>
      <c r="H269" s="1" t="s">
        <v>2</v>
      </c>
      <c r="I269" s="1" t="s">
        <v>28</v>
      </c>
      <c r="J269" s="1" t="s">
        <v>31</v>
      </c>
      <c r="K269">
        <v>2</v>
      </c>
    </row>
    <row r="270" spans="1:11" x14ac:dyDescent="0.25">
      <c r="A270" s="18" t="str">
        <f xml:space="preserve">  MapNameLkup</f>
        <v>m_ofs_trex_ar_invoices</v>
      </c>
      <c r="B270" s="1" t="s">
        <v>95</v>
      </c>
      <c r="C270" s="1" t="s">
        <v>105</v>
      </c>
      <c r="D270" s="1" t="s">
        <v>1</v>
      </c>
      <c r="E270" s="1" t="s">
        <v>107</v>
      </c>
      <c r="F270">
        <v>1</v>
      </c>
      <c r="G270" s="1"/>
      <c r="H270" s="1" t="s">
        <v>3</v>
      </c>
      <c r="I270" s="1" t="s">
        <v>28</v>
      </c>
      <c r="J270" s="1" t="s">
        <v>32</v>
      </c>
      <c r="K270">
        <v>3</v>
      </c>
    </row>
    <row r="271" spans="1:11" x14ac:dyDescent="0.25">
      <c r="A271" s="18" t="str">
        <f xml:space="preserve">  MapNameLkup</f>
        <v>m_ofs_trex_ar_invoices</v>
      </c>
      <c r="B271" s="1" t="s">
        <v>95</v>
      </c>
      <c r="C271" s="1" t="s">
        <v>105</v>
      </c>
      <c r="D271" s="1" t="s">
        <v>1</v>
      </c>
      <c r="E271" s="1" t="s">
        <v>107</v>
      </c>
      <c r="F271">
        <v>1</v>
      </c>
      <c r="G271" s="1"/>
      <c r="H271" s="1" t="s">
        <v>312</v>
      </c>
      <c r="I271" s="1" t="s">
        <v>28</v>
      </c>
      <c r="J271" s="1" t="s">
        <v>32</v>
      </c>
      <c r="K271">
        <v>4</v>
      </c>
    </row>
    <row r="272" spans="1:11" x14ac:dyDescent="0.25">
      <c r="A272" s="18" t="str">
        <f xml:space="preserve">  MapNameLkup</f>
        <v>m_ofs_trex_ar_invoices</v>
      </c>
      <c r="B272" s="1" t="s">
        <v>95</v>
      </c>
      <c r="C272" s="1" t="s">
        <v>105</v>
      </c>
      <c r="D272" s="1" t="s">
        <v>1</v>
      </c>
      <c r="E272" s="1" t="s">
        <v>107</v>
      </c>
      <c r="F272">
        <v>1</v>
      </c>
      <c r="G272" s="1"/>
      <c r="H272" s="1" t="s">
        <v>313</v>
      </c>
      <c r="I272" s="1" t="s">
        <v>28</v>
      </c>
      <c r="J272" s="1" t="s">
        <v>32</v>
      </c>
      <c r="K272">
        <v>5</v>
      </c>
    </row>
    <row r="273" spans="1:11" x14ac:dyDescent="0.25">
      <c r="A273" s="18" t="str">
        <f xml:space="preserve">  MapNameLkup</f>
        <v>m_ofs_trex_ar_invoices</v>
      </c>
      <c r="B273" s="1" t="s">
        <v>95</v>
      </c>
      <c r="C273" s="1" t="s">
        <v>105</v>
      </c>
      <c r="D273" s="1" t="s">
        <v>1</v>
      </c>
      <c r="E273" s="1" t="s">
        <v>107</v>
      </c>
      <c r="F273">
        <v>1</v>
      </c>
      <c r="G273" s="1"/>
      <c r="H273" s="1" t="s">
        <v>154</v>
      </c>
      <c r="I273" s="1" t="s">
        <v>28</v>
      </c>
      <c r="J273" s="1" t="s">
        <v>32</v>
      </c>
      <c r="K273">
        <v>6</v>
      </c>
    </row>
    <row r="274" spans="1:11" x14ac:dyDescent="0.25">
      <c r="A274" s="18" t="str">
        <f xml:space="preserve">  MapNameLkup</f>
        <v>m_ofs_trex_ar_invoices</v>
      </c>
      <c r="B274" s="1" t="s">
        <v>95</v>
      </c>
      <c r="C274" s="1" t="s">
        <v>105</v>
      </c>
      <c r="D274" s="1" t="s">
        <v>1</v>
      </c>
      <c r="E274" s="1" t="s">
        <v>107</v>
      </c>
      <c r="F274">
        <v>1</v>
      </c>
      <c r="G274" s="1"/>
      <c r="H274" s="1" t="s">
        <v>156</v>
      </c>
      <c r="I274" s="1" t="s">
        <v>28</v>
      </c>
      <c r="J274" s="1" t="s">
        <v>32</v>
      </c>
      <c r="K274">
        <v>7</v>
      </c>
    </row>
    <row r="275" spans="1:11" x14ac:dyDescent="0.25">
      <c r="A275" s="18" t="str">
        <f xml:space="preserve">  MapNameLkup</f>
        <v>m_ofs_trex_ar_invoices</v>
      </c>
      <c r="B275" s="1" t="s">
        <v>95</v>
      </c>
      <c r="C275" s="1" t="s">
        <v>105</v>
      </c>
      <c r="D275" s="1" t="s">
        <v>1</v>
      </c>
      <c r="E275" s="1" t="s">
        <v>107</v>
      </c>
      <c r="F275">
        <v>1</v>
      </c>
      <c r="G275" s="1"/>
      <c r="H275" s="1" t="s">
        <v>157</v>
      </c>
      <c r="I275" s="1" t="s">
        <v>28</v>
      </c>
      <c r="J275" s="1" t="s">
        <v>32</v>
      </c>
      <c r="K275">
        <v>8</v>
      </c>
    </row>
    <row r="276" spans="1:11" x14ac:dyDescent="0.25">
      <c r="A276" s="18" t="str">
        <f xml:space="preserve">  MapNameLkup</f>
        <v>m_ofs_trex_ar_invoices</v>
      </c>
      <c r="B276" s="1" t="s">
        <v>95</v>
      </c>
      <c r="C276" s="1" t="s">
        <v>105</v>
      </c>
      <c r="D276" s="1" t="s">
        <v>1</v>
      </c>
      <c r="E276" s="1" t="s">
        <v>107</v>
      </c>
      <c r="F276">
        <v>1</v>
      </c>
      <c r="G276" s="1"/>
      <c r="H276" s="1" t="s">
        <v>155</v>
      </c>
      <c r="I276" s="1" t="s">
        <v>28</v>
      </c>
      <c r="J276" s="1" t="s">
        <v>32</v>
      </c>
      <c r="K276">
        <v>9</v>
      </c>
    </row>
    <row r="277" spans="1:11" x14ac:dyDescent="0.25">
      <c r="A277" s="18" t="str">
        <f xml:space="preserve">  MapNameLkup</f>
        <v>m_ofs_trex_ar_invoices</v>
      </c>
      <c r="B277" s="1" t="s">
        <v>95</v>
      </c>
      <c r="C277" s="1" t="s">
        <v>105</v>
      </c>
      <c r="D277" s="1" t="s">
        <v>1</v>
      </c>
      <c r="E277" s="1" t="s">
        <v>107</v>
      </c>
      <c r="F277">
        <v>1</v>
      </c>
      <c r="G277" s="1"/>
      <c r="H277" s="1" t="s">
        <v>158</v>
      </c>
      <c r="I277" s="1" t="s">
        <v>28</v>
      </c>
      <c r="J277" s="1" t="s">
        <v>31</v>
      </c>
      <c r="K277">
        <v>10</v>
      </c>
    </row>
    <row r="278" spans="1:11" x14ac:dyDescent="0.25">
      <c r="A278" s="18" t="str">
        <f xml:space="preserve">  MapNameLkup</f>
        <v>m_ofs_trex_ar_invoices</v>
      </c>
      <c r="B278" s="1" t="s">
        <v>96</v>
      </c>
      <c r="C278" s="1" t="s">
        <v>105</v>
      </c>
      <c r="D278" s="1" t="s">
        <v>1</v>
      </c>
      <c r="E278" s="1" t="s">
        <v>107</v>
      </c>
      <c r="F278">
        <v>1</v>
      </c>
      <c r="G278" s="1"/>
      <c r="H278" s="1" t="s">
        <v>314</v>
      </c>
      <c r="I278" s="1" t="s">
        <v>28</v>
      </c>
      <c r="J278" s="1" t="s">
        <v>32</v>
      </c>
      <c r="K278">
        <v>1</v>
      </c>
    </row>
    <row r="279" spans="1:11" x14ac:dyDescent="0.25">
      <c r="A279" s="18" t="str">
        <f xml:space="preserve">  MapNameLkup</f>
        <v>m_ofs_trex_ar_invoices</v>
      </c>
      <c r="B279" s="1" t="s">
        <v>96</v>
      </c>
      <c r="C279" s="1" t="s">
        <v>105</v>
      </c>
      <c r="D279" s="1" t="s">
        <v>1</v>
      </c>
      <c r="E279" s="1" t="s">
        <v>107</v>
      </c>
      <c r="F279">
        <v>1</v>
      </c>
      <c r="G279" s="1"/>
      <c r="H279" s="1" t="s">
        <v>315</v>
      </c>
      <c r="I279" s="1" t="s">
        <v>28</v>
      </c>
      <c r="J279" s="1" t="s">
        <v>31</v>
      </c>
      <c r="K279">
        <v>2</v>
      </c>
    </row>
    <row r="280" spans="1:11" x14ac:dyDescent="0.25">
      <c r="A280" s="18" t="str">
        <f xml:space="preserve">  MapNameLkup</f>
        <v>m_ofs_trex_ar_invoices</v>
      </c>
      <c r="B280" s="1" t="s">
        <v>96</v>
      </c>
      <c r="C280" s="1" t="s">
        <v>105</v>
      </c>
      <c r="D280" s="1" t="s">
        <v>1</v>
      </c>
      <c r="E280" s="1" t="s">
        <v>107</v>
      </c>
      <c r="F280">
        <v>1</v>
      </c>
      <c r="G280" s="1"/>
      <c r="H280" s="1" t="s">
        <v>316</v>
      </c>
      <c r="I280" s="1" t="s">
        <v>28</v>
      </c>
      <c r="J280" s="1" t="s">
        <v>31</v>
      </c>
      <c r="K280">
        <v>3</v>
      </c>
    </row>
    <row r="281" spans="1:11" x14ac:dyDescent="0.25">
      <c r="A281" s="18" t="str">
        <f xml:space="preserve">  MapNameLkup</f>
        <v>m_ofs_trex_ar_invoices</v>
      </c>
      <c r="B281" s="1" t="s">
        <v>96</v>
      </c>
      <c r="C281" s="1" t="s">
        <v>105</v>
      </c>
      <c r="D281" s="1" t="s">
        <v>1</v>
      </c>
      <c r="E281" s="1" t="s">
        <v>107</v>
      </c>
      <c r="F281">
        <v>1</v>
      </c>
      <c r="G281" s="1"/>
      <c r="H281" s="1" t="s">
        <v>154</v>
      </c>
      <c r="I281" s="1" t="s">
        <v>28</v>
      </c>
      <c r="J281" s="1" t="s">
        <v>32</v>
      </c>
      <c r="K281">
        <v>4</v>
      </c>
    </row>
    <row r="282" spans="1:11" x14ac:dyDescent="0.25">
      <c r="A282" s="18" t="str">
        <f xml:space="preserve">  MapNameLkup</f>
        <v>m_ofs_trex_ar_invoices</v>
      </c>
      <c r="B282" s="1" t="s">
        <v>96</v>
      </c>
      <c r="C282" s="1" t="s">
        <v>105</v>
      </c>
      <c r="D282" s="1" t="s">
        <v>1</v>
      </c>
      <c r="E282" s="1" t="s">
        <v>107</v>
      </c>
      <c r="F282">
        <v>1</v>
      </c>
      <c r="G282" s="1"/>
      <c r="H282" s="1" t="s">
        <v>155</v>
      </c>
      <c r="I282" s="1" t="s">
        <v>28</v>
      </c>
      <c r="J282" s="1" t="s">
        <v>32</v>
      </c>
      <c r="K282">
        <v>5</v>
      </c>
    </row>
    <row r="283" spans="1:11" x14ac:dyDescent="0.25">
      <c r="A283" s="18" t="str">
        <f xml:space="preserve">  MapNameLkup</f>
        <v>m_ofs_trex_ar_invoices</v>
      </c>
      <c r="B283" s="1" t="s">
        <v>96</v>
      </c>
      <c r="C283" s="1" t="s">
        <v>105</v>
      </c>
      <c r="D283" s="1" t="s">
        <v>1</v>
      </c>
      <c r="E283" s="1" t="s">
        <v>107</v>
      </c>
      <c r="F283">
        <v>1</v>
      </c>
      <c r="G283" s="1"/>
      <c r="H283" s="1" t="s">
        <v>156</v>
      </c>
      <c r="I283" s="1" t="s">
        <v>28</v>
      </c>
      <c r="J283" s="1" t="s">
        <v>32</v>
      </c>
      <c r="K283">
        <v>6</v>
      </c>
    </row>
    <row r="284" spans="1:11" x14ac:dyDescent="0.25">
      <c r="A284" s="18" t="str">
        <f xml:space="preserve">  MapNameLkup</f>
        <v>m_ofs_trex_ar_invoices</v>
      </c>
      <c r="B284" s="1" t="s">
        <v>96</v>
      </c>
      <c r="C284" s="1" t="s">
        <v>105</v>
      </c>
      <c r="D284" s="1" t="s">
        <v>1</v>
      </c>
      <c r="E284" s="1" t="s">
        <v>107</v>
      </c>
      <c r="F284">
        <v>1</v>
      </c>
      <c r="G284" s="1"/>
      <c r="H284" s="1" t="s">
        <v>157</v>
      </c>
      <c r="I284" s="1" t="s">
        <v>28</v>
      </c>
      <c r="J284" s="1" t="s">
        <v>32</v>
      </c>
      <c r="K284">
        <v>7</v>
      </c>
    </row>
    <row r="285" spans="1:11" x14ac:dyDescent="0.25">
      <c r="A285" s="18" t="str">
        <f xml:space="preserve">  MapNameLkup</f>
        <v>m_ofs_trex_ar_invoices</v>
      </c>
      <c r="B285" s="1" t="s">
        <v>96</v>
      </c>
      <c r="C285" s="1" t="s">
        <v>105</v>
      </c>
      <c r="D285" s="1" t="s">
        <v>1</v>
      </c>
      <c r="E285" s="1" t="s">
        <v>107</v>
      </c>
      <c r="F285">
        <v>1</v>
      </c>
      <c r="G285" s="1"/>
      <c r="H285" s="1" t="s">
        <v>158</v>
      </c>
      <c r="I285" s="1" t="s">
        <v>28</v>
      </c>
      <c r="J285" s="1" t="s">
        <v>31</v>
      </c>
      <c r="K285">
        <v>8</v>
      </c>
    </row>
    <row r="286" spans="1:11" x14ac:dyDescent="0.25">
      <c r="A286" s="18" t="str">
        <f xml:space="preserve">  MapNameLkup</f>
        <v>m_ofs_trex_ar_invoices</v>
      </c>
      <c r="B286" s="1" t="s">
        <v>96</v>
      </c>
      <c r="C286" s="1" t="s">
        <v>105</v>
      </c>
      <c r="D286" s="1" t="s">
        <v>1</v>
      </c>
      <c r="E286" s="1" t="s">
        <v>107</v>
      </c>
      <c r="F286">
        <v>1</v>
      </c>
      <c r="G286" s="1"/>
      <c r="H286" s="1" t="s">
        <v>317</v>
      </c>
      <c r="I286" s="1" t="s">
        <v>28</v>
      </c>
      <c r="J286" s="1" t="s">
        <v>32</v>
      </c>
      <c r="K286">
        <v>9</v>
      </c>
    </row>
    <row r="287" spans="1:11" x14ac:dyDescent="0.25">
      <c r="A287" s="18" t="str">
        <f xml:space="preserve">  MapNameLkup</f>
        <v>m_ofs_trex_ar_invoices</v>
      </c>
      <c r="B287" s="1" t="s">
        <v>96</v>
      </c>
      <c r="C287" s="1" t="s">
        <v>105</v>
      </c>
      <c r="D287" s="1" t="s">
        <v>1</v>
      </c>
      <c r="E287" s="1" t="s">
        <v>107</v>
      </c>
      <c r="F287">
        <v>1</v>
      </c>
      <c r="G287" s="1"/>
      <c r="H287" s="1" t="s">
        <v>318</v>
      </c>
      <c r="I287" s="1" t="s">
        <v>28</v>
      </c>
      <c r="J287" s="1" t="s">
        <v>32</v>
      </c>
      <c r="K287">
        <v>10</v>
      </c>
    </row>
    <row r="288" spans="1:11" x14ac:dyDescent="0.25">
      <c r="A288" s="18" t="str">
        <f xml:space="preserve">  MapNameLkup</f>
        <v>m_ofs_trex_ar_invoices</v>
      </c>
      <c r="B288" s="1" t="s">
        <v>96</v>
      </c>
      <c r="C288" s="1" t="s">
        <v>105</v>
      </c>
      <c r="D288" s="1" t="s">
        <v>1</v>
      </c>
      <c r="E288" s="1" t="s">
        <v>107</v>
      </c>
      <c r="F288">
        <v>1</v>
      </c>
      <c r="G288" s="1"/>
      <c r="H288" s="1" t="s">
        <v>319</v>
      </c>
      <c r="I288" s="1" t="s">
        <v>28</v>
      </c>
      <c r="J288" s="1" t="s">
        <v>32</v>
      </c>
      <c r="K288">
        <v>11</v>
      </c>
    </row>
    <row r="289" spans="1:11" x14ac:dyDescent="0.25">
      <c r="A289" s="18" t="str">
        <f xml:space="preserve">  MapNameLkup</f>
        <v>m_ofs_trex_ar_invoices</v>
      </c>
      <c r="B289" s="1" t="s">
        <v>96</v>
      </c>
      <c r="C289" s="1" t="s">
        <v>105</v>
      </c>
      <c r="D289" s="1" t="s">
        <v>1</v>
      </c>
      <c r="E289" s="1" t="s">
        <v>107</v>
      </c>
      <c r="F289">
        <v>1</v>
      </c>
      <c r="G289" s="1"/>
      <c r="H289" s="1" t="s">
        <v>320</v>
      </c>
      <c r="I289" s="1" t="s">
        <v>28</v>
      </c>
      <c r="J289" s="1" t="s">
        <v>32</v>
      </c>
      <c r="K289">
        <v>12</v>
      </c>
    </row>
    <row r="290" spans="1:11" x14ac:dyDescent="0.25">
      <c r="A290" s="18" t="str">
        <f xml:space="preserve">  MapNameLkup</f>
        <v>m_ofs_trex_ar_invoices</v>
      </c>
      <c r="B290" s="1" t="s">
        <v>96</v>
      </c>
      <c r="C290" s="1" t="s">
        <v>105</v>
      </c>
      <c r="D290" s="1" t="s">
        <v>1</v>
      </c>
      <c r="E290" s="1" t="s">
        <v>107</v>
      </c>
      <c r="F290">
        <v>1</v>
      </c>
      <c r="G290" s="1"/>
      <c r="H290" s="1" t="s">
        <v>160</v>
      </c>
      <c r="I290" s="1" t="s">
        <v>28</v>
      </c>
      <c r="J290" s="1" t="s">
        <v>32</v>
      </c>
      <c r="K290">
        <v>13</v>
      </c>
    </row>
    <row r="291" spans="1:11" x14ac:dyDescent="0.25">
      <c r="A291" s="18" t="str">
        <f xml:space="preserve">  MapNameLkup</f>
        <v>m_ofs_trex_ar_invoices</v>
      </c>
      <c r="B291" s="1" t="s">
        <v>96</v>
      </c>
      <c r="C291" s="1" t="s">
        <v>105</v>
      </c>
      <c r="D291" s="1" t="s">
        <v>1</v>
      </c>
      <c r="E291" s="1" t="s">
        <v>107</v>
      </c>
      <c r="F291">
        <v>1</v>
      </c>
      <c r="G291" s="1"/>
      <c r="H291" s="1" t="s">
        <v>321</v>
      </c>
      <c r="I291" s="1" t="s">
        <v>28</v>
      </c>
      <c r="J291" s="1" t="s">
        <v>32</v>
      </c>
      <c r="K291">
        <v>14</v>
      </c>
    </row>
    <row r="292" spans="1:11" x14ac:dyDescent="0.25">
      <c r="A292" s="18" t="str">
        <f xml:space="preserve">  MapNameLkup</f>
        <v>m_ofs_trex_ar_invoices</v>
      </c>
      <c r="B292" s="1" t="s">
        <v>96</v>
      </c>
      <c r="C292" s="1" t="s">
        <v>105</v>
      </c>
      <c r="D292" s="1" t="s">
        <v>1</v>
      </c>
      <c r="E292" s="1" t="s">
        <v>107</v>
      </c>
      <c r="F292">
        <v>1</v>
      </c>
      <c r="G292" s="1"/>
      <c r="H292" s="1" t="s">
        <v>322</v>
      </c>
      <c r="I292" s="1" t="s">
        <v>28</v>
      </c>
      <c r="J292" s="1" t="s">
        <v>32</v>
      </c>
      <c r="K292">
        <v>15</v>
      </c>
    </row>
    <row r="293" spans="1:11" x14ac:dyDescent="0.25">
      <c r="A293" s="18" t="str">
        <f xml:space="preserve">  MapNameLkup</f>
        <v>m_ofs_trex_ar_invoices</v>
      </c>
      <c r="B293" s="1" t="s">
        <v>96</v>
      </c>
      <c r="C293" s="1" t="s">
        <v>105</v>
      </c>
      <c r="D293" s="1" t="s">
        <v>1</v>
      </c>
      <c r="E293" s="1" t="s">
        <v>107</v>
      </c>
      <c r="F293">
        <v>1</v>
      </c>
      <c r="G293" s="1"/>
      <c r="H293" s="1" t="s">
        <v>323</v>
      </c>
      <c r="I293" s="1" t="s">
        <v>28</v>
      </c>
      <c r="J293" s="1" t="s">
        <v>31</v>
      </c>
      <c r="K293">
        <v>16</v>
      </c>
    </row>
    <row r="294" spans="1:11" x14ac:dyDescent="0.25">
      <c r="A294" s="18" t="str">
        <f xml:space="preserve">  MapNameLkup</f>
        <v>m_ofs_trex_ar_invoices</v>
      </c>
      <c r="B294" s="1" t="s">
        <v>96</v>
      </c>
      <c r="C294" s="1" t="s">
        <v>105</v>
      </c>
      <c r="D294" s="1" t="s">
        <v>1</v>
      </c>
      <c r="E294" s="1" t="s">
        <v>107</v>
      </c>
      <c r="F294">
        <v>1</v>
      </c>
      <c r="G294" s="1"/>
      <c r="H294" s="1" t="s">
        <v>324</v>
      </c>
      <c r="I294" s="1" t="s">
        <v>28</v>
      </c>
      <c r="J294" s="1" t="s">
        <v>31</v>
      </c>
      <c r="K294">
        <v>17</v>
      </c>
    </row>
    <row r="295" spans="1:11" x14ac:dyDescent="0.25">
      <c r="A295" s="18" t="str">
        <f xml:space="preserve">  MapNameLkup</f>
        <v>m_ofs_trex_ar_invoices</v>
      </c>
      <c r="B295" s="1" t="s">
        <v>96</v>
      </c>
      <c r="C295" s="1" t="s">
        <v>105</v>
      </c>
      <c r="D295" s="1" t="s">
        <v>1</v>
      </c>
      <c r="E295" s="1" t="s">
        <v>107</v>
      </c>
      <c r="F295">
        <v>1</v>
      </c>
      <c r="G295" s="1"/>
      <c r="H295" s="1" t="s">
        <v>325</v>
      </c>
      <c r="I295" s="1" t="s">
        <v>28</v>
      </c>
      <c r="J295" s="1" t="s">
        <v>31</v>
      </c>
      <c r="K295">
        <v>18</v>
      </c>
    </row>
    <row r="296" spans="1:11" x14ac:dyDescent="0.25">
      <c r="A296" s="18" t="str">
        <f xml:space="preserve">  MapNameLkup</f>
        <v>m_ofs_trex_ar_invoices</v>
      </c>
      <c r="B296" s="1" t="s">
        <v>96</v>
      </c>
      <c r="C296" s="1" t="s">
        <v>105</v>
      </c>
      <c r="D296" s="1" t="s">
        <v>1</v>
      </c>
      <c r="E296" s="1" t="s">
        <v>107</v>
      </c>
      <c r="F296">
        <v>1</v>
      </c>
      <c r="G296" s="1"/>
      <c r="H296" s="1" t="s">
        <v>326</v>
      </c>
      <c r="I296" s="1" t="s">
        <v>28</v>
      </c>
      <c r="J296" s="1" t="s">
        <v>31</v>
      </c>
      <c r="K296">
        <v>19</v>
      </c>
    </row>
    <row r="297" spans="1:11" x14ac:dyDescent="0.25">
      <c r="A297" s="18" t="str">
        <f xml:space="preserve">  MapNameLkup</f>
        <v>m_ofs_trex_ar_invoices</v>
      </c>
      <c r="B297" s="1" t="s">
        <v>96</v>
      </c>
      <c r="C297" s="1" t="s">
        <v>105</v>
      </c>
      <c r="D297" s="1" t="s">
        <v>1</v>
      </c>
      <c r="E297" s="1" t="s">
        <v>107</v>
      </c>
      <c r="F297">
        <v>1</v>
      </c>
      <c r="G297" s="1"/>
      <c r="H297" s="1" t="s">
        <v>327</v>
      </c>
      <c r="I297" s="1" t="s">
        <v>28</v>
      </c>
      <c r="J297" s="1" t="s">
        <v>31</v>
      </c>
      <c r="K297">
        <v>20</v>
      </c>
    </row>
    <row r="298" spans="1:11" x14ac:dyDescent="0.25">
      <c r="A298" s="18" t="str">
        <f xml:space="preserve">  MapNameLkup</f>
        <v>m_ofs_trex_ar_invoices</v>
      </c>
      <c r="B298" s="1" t="s">
        <v>96</v>
      </c>
      <c r="C298" s="1" t="s">
        <v>105</v>
      </c>
      <c r="D298" s="1" t="s">
        <v>1</v>
      </c>
      <c r="E298" s="1" t="s">
        <v>107</v>
      </c>
      <c r="F298">
        <v>1</v>
      </c>
      <c r="G298" s="1"/>
      <c r="H298" s="1" t="s">
        <v>328</v>
      </c>
      <c r="I298" s="1" t="s">
        <v>28</v>
      </c>
      <c r="J298" s="1" t="s">
        <v>31</v>
      </c>
      <c r="K298">
        <v>21</v>
      </c>
    </row>
    <row r="299" spans="1:11" x14ac:dyDescent="0.25">
      <c r="A299" s="18" t="str">
        <f xml:space="preserve">  MapNameLkup</f>
        <v>m_ofs_trex_ar_invoices</v>
      </c>
      <c r="B299" s="1" t="s">
        <v>96</v>
      </c>
      <c r="C299" s="1" t="s">
        <v>105</v>
      </c>
      <c r="D299" s="1" t="s">
        <v>1</v>
      </c>
      <c r="E299" s="1" t="s">
        <v>107</v>
      </c>
      <c r="F299">
        <v>1</v>
      </c>
      <c r="G299" s="1"/>
      <c r="H299" s="1" t="s">
        <v>311</v>
      </c>
      <c r="I299" s="1" t="s">
        <v>28</v>
      </c>
      <c r="J299" s="1" t="s">
        <v>31</v>
      </c>
      <c r="K299">
        <v>22</v>
      </c>
    </row>
    <row r="300" spans="1:11" x14ac:dyDescent="0.25">
      <c r="A300" s="18" t="str">
        <f xml:space="preserve">  MapNameLkup</f>
        <v>m_ofs_trex_ar_invoices</v>
      </c>
      <c r="B300" s="1" t="s">
        <v>96</v>
      </c>
      <c r="C300" s="1" t="s">
        <v>105</v>
      </c>
      <c r="D300" s="1" t="s">
        <v>1</v>
      </c>
      <c r="E300" s="1" t="s">
        <v>107</v>
      </c>
      <c r="F300">
        <v>1</v>
      </c>
      <c r="G300" s="1"/>
      <c r="H300" s="1" t="s">
        <v>329</v>
      </c>
      <c r="I300" s="1" t="s">
        <v>28</v>
      </c>
      <c r="J300" s="1" t="s">
        <v>31</v>
      </c>
      <c r="K300">
        <v>23</v>
      </c>
    </row>
    <row r="301" spans="1:11" x14ac:dyDescent="0.25">
      <c r="A301" s="18" t="str">
        <f xml:space="preserve">  MapNameLkup</f>
        <v>m_ofs_trex_ar_invoices</v>
      </c>
      <c r="B301" s="1" t="s">
        <v>96</v>
      </c>
      <c r="C301" s="1" t="s">
        <v>105</v>
      </c>
      <c r="D301" s="1" t="s">
        <v>1</v>
      </c>
      <c r="E301" s="1" t="s">
        <v>107</v>
      </c>
      <c r="F301">
        <v>1</v>
      </c>
      <c r="G301" s="1"/>
      <c r="H301" s="1" t="s">
        <v>330</v>
      </c>
      <c r="I301" s="1" t="s">
        <v>28</v>
      </c>
      <c r="J301" s="1" t="s">
        <v>32</v>
      </c>
      <c r="K301">
        <v>24</v>
      </c>
    </row>
    <row r="302" spans="1:11" x14ac:dyDescent="0.25">
      <c r="A302" s="18" t="str">
        <f xml:space="preserve">  MapNameLkup</f>
        <v>m_ofs_trex_ar_invoices</v>
      </c>
      <c r="B302" s="1" t="s">
        <v>96</v>
      </c>
      <c r="C302" s="1" t="s">
        <v>105</v>
      </c>
      <c r="D302" s="1" t="s">
        <v>1</v>
      </c>
      <c r="E302" s="1" t="s">
        <v>107</v>
      </c>
      <c r="F302">
        <v>1</v>
      </c>
      <c r="G302" s="1"/>
      <c r="H302" s="1" t="s">
        <v>331</v>
      </c>
      <c r="I302" s="1" t="s">
        <v>28</v>
      </c>
      <c r="J302" s="1" t="s">
        <v>32</v>
      </c>
      <c r="K302">
        <v>25</v>
      </c>
    </row>
    <row r="303" spans="1:11" x14ac:dyDescent="0.25">
      <c r="A303" s="18" t="str">
        <f xml:space="preserve">  MapNameLkup</f>
        <v>m_ofs_trex_ar_invoices</v>
      </c>
      <c r="B303" s="1" t="s">
        <v>96</v>
      </c>
      <c r="C303" s="1" t="s">
        <v>105</v>
      </c>
      <c r="D303" s="1" t="s">
        <v>1</v>
      </c>
      <c r="E303" s="1" t="s">
        <v>107</v>
      </c>
      <c r="F303">
        <v>1</v>
      </c>
      <c r="G303" s="1"/>
      <c r="H303" s="1" t="s">
        <v>332</v>
      </c>
      <c r="I303" s="1" t="s">
        <v>28</v>
      </c>
      <c r="J303" s="1" t="s">
        <v>31</v>
      </c>
      <c r="K303">
        <v>26</v>
      </c>
    </row>
    <row r="304" spans="1:11" x14ac:dyDescent="0.25">
      <c r="A304" s="18" t="str">
        <f xml:space="preserve">  MapNameLkup</f>
        <v>m_ofs_trex_ar_invoices</v>
      </c>
      <c r="B304" s="1" t="s">
        <v>96</v>
      </c>
      <c r="C304" s="1" t="s">
        <v>105</v>
      </c>
      <c r="D304" s="1" t="s">
        <v>1</v>
      </c>
      <c r="E304" s="1" t="s">
        <v>107</v>
      </c>
      <c r="F304">
        <v>1</v>
      </c>
      <c r="G304" s="1"/>
      <c r="H304" s="1" t="s">
        <v>333</v>
      </c>
      <c r="I304" s="1" t="s">
        <v>28</v>
      </c>
      <c r="J304" s="1" t="s">
        <v>31</v>
      </c>
      <c r="K304">
        <v>27</v>
      </c>
    </row>
    <row r="305" spans="1:11" x14ac:dyDescent="0.25">
      <c r="A305" s="18" t="str">
        <f xml:space="preserve">  MapNameLkup</f>
        <v>m_ofs_trex_ar_invoices</v>
      </c>
      <c r="B305" s="1" t="s">
        <v>96</v>
      </c>
      <c r="C305" s="1" t="s">
        <v>105</v>
      </c>
      <c r="D305" s="1" t="s">
        <v>1</v>
      </c>
      <c r="E305" s="1" t="s">
        <v>107</v>
      </c>
      <c r="F305">
        <v>1</v>
      </c>
      <c r="G305" s="1"/>
      <c r="H305" s="1" t="s">
        <v>334</v>
      </c>
      <c r="I305" s="1" t="s">
        <v>28</v>
      </c>
      <c r="J305" s="1" t="s">
        <v>31</v>
      </c>
      <c r="K305">
        <v>28</v>
      </c>
    </row>
    <row r="306" spans="1:11" x14ac:dyDescent="0.25">
      <c r="A306" s="18" t="str">
        <f xml:space="preserve">  MapNameLkup</f>
        <v>m_ofs_trex_ar_invoices</v>
      </c>
      <c r="B306" s="1" t="s">
        <v>96</v>
      </c>
      <c r="C306" s="1" t="s">
        <v>105</v>
      </c>
      <c r="D306" s="1" t="s">
        <v>1</v>
      </c>
      <c r="E306" s="1" t="s">
        <v>107</v>
      </c>
      <c r="F306">
        <v>1</v>
      </c>
      <c r="G306" s="1"/>
      <c r="H306" s="1" t="s">
        <v>335</v>
      </c>
      <c r="I306" s="1" t="s">
        <v>28</v>
      </c>
      <c r="J306" s="1" t="s">
        <v>31</v>
      </c>
      <c r="K306">
        <v>29</v>
      </c>
    </row>
    <row r="307" spans="1:11" x14ac:dyDescent="0.25">
      <c r="A307" s="18" t="str">
        <f xml:space="preserve">  MapNameLkup</f>
        <v>m_ofs_trex_ar_invoices</v>
      </c>
      <c r="B307" s="1" t="s">
        <v>96</v>
      </c>
      <c r="C307" s="1" t="s">
        <v>105</v>
      </c>
      <c r="D307" s="1" t="s">
        <v>1</v>
      </c>
      <c r="E307" s="1" t="s">
        <v>107</v>
      </c>
      <c r="F307">
        <v>1</v>
      </c>
      <c r="G307" s="1"/>
      <c r="H307" s="1" t="s">
        <v>336</v>
      </c>
      <c r="I307" s="1" t="s">
        <v>28</v>
      </c>
      <c r="J307" s="1" t="s">
        <v>31</v>
      </c>
      <c r="K307">
        <v>30</v>
      </c>
    </row>
    <row r="308" spans="1:11" x14ac:dyDescent="0.25">
      <c r="A308" s="18" t="str">
        <f xml:space="preserve">  MapNameLkup</f>
        <v>m_ofs_trex_ar_invoices</v>
      </c>
      <c r="B308" s="1" t="s">
        <v>96</v>
      </c>
      <c r="C308" s="1" t="s">
        <v>105</v>
      </c>
      <c r="D308" s="1" t="s">
        <v>1</v>
      </c>
      <c r="E308" s="1" t="s">
        <v>107</v>
      </c>
      <c r="F308">
        <v>1</v>
      </c>
      <c r="G308" s="1"/>
      <c r="H308" s="1" t="s">
        <v>337</v>
      </c>
      <c r="I308" s="1" t="s">
        <v>28</v>
      </c>
      <c r="J308" s="1" t="s">
        <v>31</v>
      </c>
      <c r="K308">
        <v>31</v>
      </c>
    </row>
    <row r="309" spans="1:11" x14ac:dyDescent="0.25">
      <c r="A309" s="18" t="str">
        <f xml:space="preserve">  MapNameLkup</f>
        <v>m_ofs_trex_ar_invoices</v>
      </c>
      <c r="B309" s="1" t="s">
        <v>96</v>
      </c>
      <c r="C309" s="1" t="s">
        <v>105</v>
      </c>
      <c r="D309" s="1" t="s">
        <v>1</v>
      </c>
      <c r="E309" s="1" t="s">
        <v>107</v>
      </c>
      <c r="F309">
        <v>1</v>
      </c>
      <c r="G309" s="1"/>
      <c r="H309" s="1" t="s">
        <v>338</v>
      </c>
      <c r="I309" s="1" t="s">
        <v>28</v>
      </c>
      <c r="J309" s="1" t="s">
        <v>31</v>
      </c>
      <c r="K309">
        <v>32</v>
      </c>
    </row>
    <row r="310" spans="1:11" x14ac:dyDescent="0.25">
      <c r="A310" s="18" t="str">
        <f xml:space="preserve">  MapNameLkup</f>
        <v>m_ofs_trex_ar_invoices</v>
      </c>
      <c r="B310" s="1" t="s">
        <v>96</v>
      </c>
      <c r="C310" s="1" t="s">
        <v>105</v>
      </c>
      <c r="D310" s="1" t="s">
        <v>1</v>
      </c>
      <c r="E310" s="1" t="s">
        <v>107</v>
      </c>
      <c r="F310">
        <v>1</v>
      </c>
      <c r="G310" s="1"/>
      <c r="H310" s="1" t="s">
        <v>339</v>
      </c>
      <c r="I310" s="1" t="s">
        <v>28</v>
      </c>
      <c r="J310" s="1" t="s">
        <v>31</v>
      </c>
      <c r="K310">
        <v>33</v>
      </c>
    </row>
    <row r="311" spans="1:11" x14ac:dyDescent="0.25">
      <c r="A311" s="18" t="str">
        <f xml:space="preserve">  MapNameLkup</f>
        <v>m_ofs_trex_ar_invoices</v>
      </c>
      <c r="B311" s="1" t="s">
        <v>96</v>
      </c>
      <c r="C311" s="1" t="s">
        <v>105</v>
      </c>
      <c r="D311" s="1" t="s">
        <v>1</v>
      </c>
      <c r="E311" s="1" t="s">
        <v>107</v>
      </c>
      <c r="F311">
        <v>1</v>
      </c>
      <c r="G311" s="1"/>
      <c r="H311" s="1" t="s">
        <v>340</v>
      </c>
      <c r="I311" s="1" t="s">
        <v>28</v>
      </c>
      <c r="J311" s="1" t="s">
        <v>31</v>
      </c>
      <c r="K311">
        <v>34</v>
      </c>
    </row>
    <row r="312" spans="1:11" x14ac:dyDescent="0.25">
      <c r="A312" s="18" t="str">
        <f xml:space="preserve">  MapNameLkup</f>
        <v>m_ofs_trex_ar_invoices</v>
      </c>
      <c r="B312" s="1" t="s">
        <v>96</v>
      </c>
      <c r="C312" s="1" t="s">
        <v>105</v>
      </c>
      <c r="D312" s="1" t="s">
        <v>1</v>
      </c>
      <c r="E312" s="1" t="s">
        <v>107</v>
      </c>
      <c r="F312">
        <v>1</v>
      </c>
      <c r="G312" s="1"/>
      <c r="H312" s="1" t="s">
        <v>341</v>
      </c>
      <c r="I312" s="1" t="s">
        <v>28</v>
      </c>
      <c r="J312" s="1" t="s">
        <v>31</v>
      </c>
      <c r="K312">
        <v>35</v>
      </c>
    </row>
    <row r="313" spans="1:11" x14ac:dyDescent="0.25">
      <c r="A313" s="18" t="str">
        <f xml:space="preserve">  MapNameLkup</f>
        <v>m_ofs_trex_ar_invoices</v>
      </c>
      <c r="B313" s="1" t="s">
        <v>96</v>
      </c>
      <c r="C313" s="1" t="s">
        <v>105</v>
      </c>
      <c r="D313" s="1" t="s">
        <v>1</v>
      </c>
      <c r="E313" s="1" t="s">
        <v>107</v>
      </c>
      <c r="F313">
        <v>1</v>
      </c>
      <c r="G313" s="1"/>
      <c r="H313" s="1" t="s">
        <v>342</v>
      </c>
      <c r="I313" s="1" t="s">
        <v>28</v>
      </c>
      <c r="J313" s="1" t="s">
        <v>31</v>
      </c>
      <c r="K313">
        <v>36</v>
      </c>
    </row>
    <row r="314" spans="1:11" x14ac:dyDescent="0.25">
      <c r="A314" s="18" t="str">
        <f xml:space="preserve">  MapNameLkup</f>
        <v>m_ofs_trex_ar_invoices</v>
      </c>
      <c r="B314" s="1" t="s">
        <v>96</v>
      </c>
      <c r="C314" s="1" t="s">
        <v>105</v>
      </c>
      <c r="D314" s="1" t="s">
        <v>1</v>
      </c>
      <c r="E314" s="1" t="s">
        <v>107</v>
      </c>
      <c r="F314">
        <v>1</v>
      </c>
      <c r="G314" s="1"/>
      <c r="H314" s="1" t="s">
        <v>343</v>
      </c>
      <c r="I314" s="1" t="s">
        <v>28</v>
      </c>
      <c r="J314" s="1" t="s">
        <v>31</v>
      </c>
      <c r="K314">
        <v>37</v>
      </c>
    </row>
    <row r="315" spans="1:11" x14ac:dyDescent="0.25">
      <c r="A315" s="18" t="str">
        <f xml:space="preserve">  MapNameLkup</f>
        <v>m_ofs_trex_ar_invoices</v>
      </c>
      <c r="B315" s="1" t="s">
        <v>96</v>
      </c>
      <c r="C315" s="1" t="s">
        <v>105</v>
      </c>
      <c r="D315" s="1" t="s">
        <v>1</v>
      </c>
      <c r="E315" s="1" t="s">
        <v>107</v>
      </c>
      <c r="F315">
        <v>1</v>
      </c>
      <c r="G315" s="1"/>
      <c r="H315" s="1" t="s">
        <v>344</v>
      </c>
      <c r="I315" s="1" t="s">
        <v>28</v>
      </c>
      <c r="J315" s="1" t="s">
        <v>31</v>
      </c>
      <c r="K315">
        <v>38</v>
      </c>
    </row>
    <row r="316" spans="1:11" x14ac:dyDescent="0.25">
      <c r="A316" s="18" t="str">
        <f xml:space="preserve">  MapNameLkup</f>
        <v>m_ofs_trex_ar_invoices</v>
      </c>
      <c r="B316" s="1" t="s">
        <v>96</v>
      </c>
      <c r="C316" s="1" t="s">
        <v>105</v>
      </c>
      <c r="D316" s="1" t="s">
        <v>1</v>
      </c>
      <c r="E316" s="1" t="s">
        <v>107</v>
      </c>
      <c r="F316">
        <v>1</v>
      </c>
      <c r="G316" s="1"/>
      <c r="H316" s="1" t="s">
        <v>345</v>
      </c>
      <c r="I316" s="1" t="s">
        <v>28</v>
      </c>
      <c r="J316" s="1" t="s">
        <v>31</v>
      </c>
      <c r="K316">
        <v>39</v>
      </c>
    </row>
    <row r="317" spans="1:11" x14ac:dyDescent="0.25">
      <c r="A317" s="18" t="str">
        <f xml:space="preserve">  MapNameLkup</f>
        <v>m_ofs_trex_ar_invoices</v>
      </c>
      <c r="B317" s="1" t="s">
        <v>96</v>
      </c>
      <c r="C317" s="1" t="s">
        <v>105</v>
      </c>
      <c r="D317" s="1" t="s">
        <v>1</v>
      </c>
      <c r="E317" s="1" t="s">
        <v>107</v>
      </c>
      <c r="F317">
        <v>1</v>
      </c>
      <c r="G317" s="1"/>
      <c r="H317" s="1" t="s">
        <v>346</v>
      </c>
      <c r="I317" s="1" t="s">
        <v>28</v>
      </c>
      <c r="J317" s="1" t="s">
        <v>31</v>
      </c>
      <c r="K317">
        <v>40</v>
      </c>
    </row>
    <row r="318" spans="1:11" x14ac:dyDescent="0.25">
      <c r="A318" s="18" t="str">
        <f xml:space="preserve">  MapNameLkup</f>
        <v>m_ofs_trex_ar_invoices</v>
      </c>
      <c r="B318" s="1" t="s">
        <v>96</v>
      </c>
      <c r="C318" s="1" t="s">
        <v>105</v>
      </c>
      <c r="D318" s="1" t="s">
        <v>1</v>
      </c>
      <c r="E318" s="1" t="s">
        <v>107</v>
      </c>
      <c r="F318">
        <v>1</v>
      </c>
      <c r="G318" s="1"/>
      <c r="H318" s="1" t="s">
        <v>347</v>
      </c>
      <c r="I318" s="1" t="s">
        <v>28</v>
      </c>
      <c r="J318" s="1" t="s">
        <v>31</v>
      </c>
      <c r="K318">
        <v>41</v>
      </c>
    </row>
    <row r="319" spans="1:11" x14ac:dyDescent="0.25">
      <c r="A319" s="18" t="str">
        <f xml:space="preserve">  MapNameLkup</f>
        <v>m_ofs_trex_ar_invoices</v>
      </c>
      <c r="B319" s="1" t="s">
        <v>96</v>
      </c>
      <c r="C319" s="1" t="s">
        <v>105</v>
      </c>
      <c r="D319" s="1" t="s">
        <v>1</v>
      </c>
      <c r="E319" s="1" t="s">
        <v>107</v>
      </c>
      <c r="F319">
        <v>1</v>
      </c>
      <c r="G319" s="1"/>
      <c r="H319" s="1" t="s">
        <v>348</v>
      </c>
      <c r="I319" s="1" t="s">
        <v>28</v>
      </c>
      <c r="J319" s="1" t="s">
        <v>31</v>
      </c>
      <c r="K319">
        <v>42</v>
      </c>
    </row>
    <row r="320" spans="1:11" x14ac:dyDescent="0.25">
      <c r="A320" s="18" t="str">
        <f xml:space="preserve">  MapNameLkup</f>
        <v>m_ofs_trex_ar_invoices</v>
      </c>
      <c r="B320" s="1" t="s">
        <v>96</v>
      </c>
      <c r="C320" s="1" t="s">
        <v>105</v>
      </c>
      <c r="D320" s="1" t="s">
        <v>1</v>
      </c>
      <c r="E320" s="1" t="s">
        <v>107</v>
      </c>
      <c r="F320">
        <v>1</v>
      </c>
      <c r="G320" s="1"/>
      <c r="H320" s="1" t="s">
        <v>349</v>
      </c>
      <c r="I320" s="1" t="s">
        <v>28</v>
      </c>
      <c r="J320" s="1" t="s">
        <v>31</v>
      </c>
      <c r="K320">
        <v>43</v>
      </c>
    </row>
    <row r="321" spans="1:11" x14ac:dyDescent="0.25">
      <c r="A321" s="18" t="str">
        <f xml:space="preserve">  MapNameLkup</f>
        <v>m_ofs_trex_ar_invoices</v>
      </c>
      <c r="B321" s="1" t="s">
        <v>96</v>
      </c>
      <c r="C321" s="1" t="s">
        <v>105</v>
      </c>
      <c r="D321" s="1" t="s">
        <v>1</v>
      </c>
      <c r="E321" s="1" t="s">
        <v>107</v>
      </c>
      <c r="F321">
        <v>1</v>
      </c>
      <c r="G321" s="1"/>
      <c r="H321" s="1" t="s">
        <v>350</v>
      </c>
      <c r="I321" s="1" t="s">
        <v>28</v>
      </c>
      <c r="J321" s="1" t="s">
        <v>31</v>
      </c>
      <c r="K321">
        <v>44</v>
      </c>
    </row>
    <row r="322" spans="1:11" x14ac:dyDescent="0.25">
      <c r="A322" s="18" t="str">
        <f xml:space="preserve">  MapNameLkup</f>
        <v>m_ofs_trex_ar_invoices</v>
      </c>
      <c r="B322" s="1" t="s">
        <v>96</v>
      </c>
      <c r="C322" s="1" t="s">
        <v>105</v>
      </c>
      <c r="D322" s="1" t="s">
        <v>1</v>
      </c>
      <c r="E322" s="1" t="s">
        <v>107</v>
      </c>
      <c r="F322">
        <v>1</v>
      </c>
      <c r="G322" s="1"/>
      <c r="H322" s="1" t="s">
        <v>351</v>
      </c>
      <c r="I322" s="1" t="s">
        <v>28</v>
      </c>
      <c r="J322" s="1" t="s">
        <v>31</v>
      </c>
      <c r="K322">
        <v>45</v>
      </c>
    </row>
    <row r="323" spans="1:11" x14ac:dyDescent="0.25">
      <c r="A323" s="18" t="str">
        <f xml:space="preserve">  MapNameLkup</f>
        <v>m_ofs_trex_ar_invoices</v>
      </c>
      <c r="B323" s="1" t="s">
        <v>96</v>
      </c>
      <c r="C323" s="1" t="s">
        <v>105</v>
      </c>
      <c r="D323" s="1" t="s">
        <v>1</v>
      </c>
      <c r="E323" s="1" t="s">
        <v>107</v>
      </c>
      <c r="F323">
        <v>1</v>
      </c>
      <c r="G323" s="1"/>
      <c r="H323" s="1" t="s">
        <v>352</v>
      </c>
      <c r="I323" s="1" t="s">
        <v>28</v>
      </c>
      <c r="J323" s="1" t="s">
        <v>31</v>
      </c>
      <c r="K323">
        <v>46</v>
      </c>
    </row>
    <row r="324" spans="1:11" x14ac:dyDescent="0.25">
      <c r="A324" s="18" t="str">
        <f xml:space="preserve">  MapNameLkup</f>
        <v>m_ofs_trex_ar_invoices</v>
      </c>
      <c r="B324" s="1" t="s">
        <v>96</v>
      </c>
      <c r="C324" s="1" t="s">
        <v>105</v>
      </c>
      <c r="D324" s="1" t="s">
        <v>1</v>
      </c>
      <c r="E324" s="1" t="s">
        <v>107</v>
      </c>
      <c r="F324">
        <v>1</v>
      </c>
      <c r="G324" s="1"/>
      <c r="H324" s="1" t="s">
        <v>353</v>
      </c>
      <c r="I324" s="1" t="s">
        <v>28</v>
      </c>
      <c r="J324" s="1" t="s">
        <v>31</v>
      </c>
      <c r="K324">
        <v>47</v>
      </c>
    </row>
    <row r="325" spans="1:11" x14ac:dyDescent="0.25">
      <c r="A325" s="18" t="str">
        <f xml:space="preserve">  MapNameLkup</f>
        <v>m_ofs_trex_ar_invoices</v>
      </c>
      <c r="B325" s="1" t="s">
        <v>96</v>
      </c>
      <c r="C325" s="1" t="s">
        <v>105</v>
      </c>
      <c r="D325" s="1" t="s">
        <v>1</v>
      </c>
      <c r="E325" s="1" t="s">
        <v>107</v>
      </c>
      <c r="F325">
        <v>1</v>
      </c>
      <c r="G325" s="1"/>
      <c r="H325" s="1" t="s">
        <v>354</v>
      </c>
      <c r="I325" s="1" t="s">
        <v>28</v>
      </c>
      <c r="J325" s="1" t="s">
        <v>31</v>
      </c>
      <c r="K325">
        <v>48</v>
      </c>
    </row>
    <row r="326" spans="1:11" x14ac:dyDescent="0.25">
      <c r="A326" s="18" t="str">
        <f xml:space="preserve">  MapNameLkup</f>
        <v>m_ofs_trex_ar_invoices</v>
      </c>
      <c r="B326" s="1" t="s">
        <v>96</v>
      </c>
      <c r="C326" s="1" t="s">
        <v>105</v>
      </c>
      <c r="D326" s="1" t="s">
        <v>1</v>
      </c>
      <c r="E326" s="1" t="s">
        <v>107</v>
      </c>
      <c r="F326">
        <v>1</v>
      </c>
      <c r="G326" s="1"/>
      <c r="H326" s="1" t="s">
        <v>355</v>
      </c>
      <c r="I326" s="1" t="s">
        <v>28</v>
      </c>
      <c r="J326" s="1" t="s">
        <v>31</v>
      </c>
      <c r="K326">
        <v>49</v>
      </c>
    </row>
    <row r="327" spans="1:11" x14ac:dyDescent="0.25">
      <c r="A327" s="18" t="str">
        <f xml:space="preserve">  MapNameLkup</f>
        <v>m_ofs_trex_ar_invoices</v>
      </c>
      <c r="B327" s="1" t="s">
        <v>96</v>
      </c>
      <c r="C327" s="1" t="s">
        <v>105</v>
      </c>
      <c r="D327" s="1" t="s">
        <v>1</v>
      </c>
      <c r="E327" s="1" t="s">
        <v>107</v>
      </c>
      <c r="F327">
        <v>1</v>
      </c>
      <c r="G327" s="1"/>
      <c r="H327" s="1" t="s">
        <v>356</v>
      </c>
      <c r="I327" s="1" t="s">
        <v>28</v>
      </c>
      <c r="J327" s="1" t="s">
        <v>31</v>
      </c>
      <c r="K327">
        <v>50</v>
      </c>
    </row>
    <row r="328" spans="1:11" x14ac:dyDescent="0.25">
      <c r="A328" s="18" t="str">
        <f xml:space="preserve">  MapNameLkup</f>
        <v>m_ofs_trex_ar_invoices</v>
      </c>
      <c r="B328" s="1" t="s">
        <v>96</v>
      </c>
      <c r="C328" s="1" t="s">
        <v>105</v>
      </c>
      <c r="D328" s="1" t="s">
        <v>1</v>
      </c>
      <c r="E328" s="1" t="s">
        <v>107</v>
      </c>
      <c r="F328">
        <v>1</v>
      </c>
      <c r="G328" s="1"/>
      <c r="H328" s="1" t="s">
        <v>357</v>
      </c>
      <c r="I328" s="1" t="s">
        <v>28</v>
      </c>
      <c r="J328" s="1" t="s">
        <v>31</v>
      </c>
      <c r="K328">
        <v>51</v>
      </c>
    </row>
    <row r="329" spans="1:11" x14ac:dyDescent="0.25">
      <c r="A329" s="18" t="str">
        <f xml:space="preserve">  MapNameLkup</f>
        <v>m_ofs_trex_ar_invoices</v>
      </c>
      <c r="B329" s="1" t="s">
        <v>96</v>
      </c>
      <c r="C329" s="1" t="s">
        <v>105</v>
      </c>
      <c r="D329" s="1" t="s">
        <v>1</v>
      </c>
      <c r="E329" s="1" t="s">
        <v>107</v>
      </c>
      <c r="F329">
        <v>1</v>
      </c>
      <c r="G329" s="1"/>
      <c r="H329" s="1" t="s">
        <v>358</v>
      </c>
      <c r="I329" s="1" t="s">
        <v>28</v>
      </c>
      <c r="J329" s="1" t="s">
        <v>31</v>
      </c>
      <c r="K329">
        <v>52</v>
      </c>
    </row>
    <row r="330" spans="1:11" x14ac:dyDescent="0.25">
      <c r="A330" s="18" t="str">
        <f xml:space="preserve">  MapNameLkup</f>
        <v>m_ofs_trex_ar_invoices</v>
      </c>
      <c r="B330" s="1" t="s">
        <v>96</v>
      </c>
      <c r="C330" s="1" t="s">
        <v>105</v>
      </c>
      <c r="D330" s="1" t="s">
        <v>1</v>
      </c>
      <c r="E330" s="1" t="s">
        <v>107</v>
      </c>
      <c r="F330">
        <v>1</v>
      </c>
      <c r="G330" s="1"/>
      <c r="H330" s="1" t="s">
        <v>359</v>
      </c>
      <c r="I330" s="1" t="s">
        <v>28</v>
      </c>
      <c r="J330" s="1" t="s">
        <v>31</v>
      </c>
      <c r="K330">
        <v>53</v>
      </c>
    </row>
    <row r="331" spans="1:11" x14ac:dyDescent="0.25">
      <c r="A331" s="18" t="str">
        <f xml:space="preserve">  MapNameLkup</f>
        <v>m_ofs_trex_ar_invoices</v>
      </c>
      <c r="B331" s="1" t="s">
        <v>96</v>
      </c>
      <c r="C331" s="1" t="s">
        <v>105</v>
      </c>
      <c r="D331" s="1" t="s">
        <v>1</v>
      </c>
      <c r="E331" s="1" t="s">
        <v>107</v>
      </c>
      <c r="F331">
        <v>1</v>
      </c>
      <c r="G331" s="1"/>
      <c r="H331" s="1" t="s">
        <v>360</v>
      </c>
      <c r="I331" s="1" t="s">
        <v>28</v>
      </c>
      <c r="J331" s="1" t="s">
        <v>31</v>
      </c>
      <c r="K331">
        <v>54</v>
      </c>
    </row>
    <row r="332" spans="1:11" x14ac:dyDescent="0.25">
      <c r="A332" s="18" t="str">
        <f xml:space="preserve">  MapNameLkup</f>
        <v>m_ofs_trex_ar_invoices</v>
      </c>
      <c r="B332" s="1" t="s">
        <v>96</v>
      </c>
      <c r="C332" s="1" t="s">
        <v>105</v>
      </c>
      <c r="D332" s="1" t="s">
        <v>1</v>
      </c>
      <c r="E332" s="1" t="s">
        <v>107</v>
      </c>
      <c r="F332">
        <v>1</v>
      </c>
      <c r="G332" s="1"/>
      <c r="H332" s="1" t="s">
        <v>361</v>
      </c>
      <c r="I332" s="1" t="s">
        <v>28</v>
      </c>
      <c r="J332" s="1" t="s">
        <v>31</v>
      </c>
      <c r="K332">
        <v>55</v>
      </c>
    </row>
    <row r="333" spans="1:11" x14ac:dyDescent="0.25">
      <c r="A333" s="18" t="str">
        <f xml:space="preserve">  MapNameLkup</f>
        <v>m_ofs_trex_ar_invoices</v>
      </c>
      <c r="B333" s="1" t="s">
        <v>96</v>
      </c>
      <c r="C333" s="1" t="s">
        <v>105</v>
      </c>
      <c r="D333" s="1" t="s">
        <v>1</v>
      </c>
      <c r="E333" s="1" t="s">
        <v>107</v>
      </c>
      <c r="F333">
        <v>1</v>
      </c>
      <c r="G333" s="1"/>
      <c r="H333" s="1" t="s">
        <v>362</v>
      </c>
      <c r="I333" s="1" t="s">
        <v>28</v>
      </c>
      <c r="J333" s="1" t="s">
        <v>31</v>
      </c>
      <c r="K333">
        <v>56</v>
      </c>
    </row>
    <row r="334" spans="1:11" x14ac:dyDescent="0.25">
      <c r="A334" s="18" t="str">
        <f xml:space="preserve">  MapNameLkup</f>
        <v>m_ofs_trex_ar_invoices</v>
      </c>
      <c r="B334" s="1" t="s">
        <v>96</v>
      </c>
      <c r="C334" s="1" t="s">
        <v>105</v>
      </c>
      <c r="D334" s="1" t="s">
        <v>1</v>
      </c>
      <c r="E334" s="1" t="s">
        <v>107</v>
      </c>
      <c r="F334">
        <v>1</v>
      </c>
      <c r="G334" s="1"/>
      <c r="H334" s="1" t="s">
        <v>363</v>
      </c>
      <c r="I334" s="1" t="s">
        <v>28</v>
      </c>
      <c r="J334" s="1" t="s">
        <v>31</v>
      </c>
      <c r="K334">
        <v>57</v>
      </c>
    </row>
    <row r="335" spans="1:11" x14ac:dyDescent="0.25">
      <c r="A335" s="18" t="str">
        <f xml:space="preserve">  MapNameLkup</f>
        <v>m_ofs_trex_ar_invoices</v>
      </c>
      <c r="B335" s="1" t="s">
        <v>96</v>
      </c>
      <c r="C335" s="1" t="s">
        <v>105</v>
      </c>
      <c r="D335" s="1" t="s">
        <v>1</v>
      </c>
      <c r="E335" s="1" t="s">
        <v>107</v>
      </c>
      <c r="F335">
        <v>1</v>
      </c>
      <c r="G335" s="1"/>
      <c r="H335" s="1" t="s">
        <v>364</v>
      </c>
      <c r="I335" s="1" t="s">
        <v>28</v>
      </c>
      <c r="J335" s="1" t="s">
        <v>31</v>
      </c>
      <c r="K335">
        <v>58</v>
      </c>
    </row>
    <row r="336" spans="1:11" x14ac:dyDescent="0.25">
      <c r="A336" s="18" t="str">
        <f xml:space="preserve">  MapNameLkup</f>
        <v>m_ofs_trex_ar_invoices</v>
      </c>
      <c r="B336" s="1" t="s">
        <v>96</v>
      </c>
      <c r="C336" s="1" t="s">
        <v>105</v>
      </c>
      <c r="D336" s="1" t="s">
        <v>1</v>
      </c>
      <c r="E336" s="1" t="s">
        <v>107</v>
      </c>
      <c r="F336">
        <v>1</v>
      </c>
      <c r="G336" s="1"/>
      <c r="H336" s="1" t="s">
        <v>365</v>
      </c>
      <c r="I336" s="1" t="s">
        <v>28</v>
      </c>
      <c r="J336" s="1" t="s">
        <v>31</v>
      </c>
      <c r="K336">
        <v>59</v>
      </c>
    </row>
    <row r="337" spans="1:11" x14ac:dyDescent="0.25">
      <c r="A337" s="18" t="str">
        <f xml:space="preserve">  MapNameLkup</f>
        <v>m_ofs_trex_ar_invoices</v>
      </c>
      <c r="B337" s="1" t="s">
        <v>96</v>
      </c>
      <c r="C337" s="1" t="s">
        <v>105</v>
      </c>
      <c r="D337" s="1" t="s">
        <v>1</v>
      </c>
      <c r="E337" s="1" t="s">
        <v>107</v>
      </c>
      <c r="F337">
        <v>1</v>
      </c>
      <c r="G337" s="1"/>
      <c r="H337" s="1" t="s">
        <v>366</v>
      </c>
      <c r="I337" s="1" t="s">
        <v>28</v>
      </c>
      <c r="J337" s="1" t="s">
        <v>31</v>
      </c>
      <c r="K337">
        <v>60</v>
      </c>
    </row>
    <row r="338" spans="1:11" x14ac:dyDescent="0.25">
      <c r="A338" s="18" t="str">
        <f xml:space="preserve">  MapNameLkup</f>
        <v>m_ofs_trex_ar_invoices</v>
      </c>
      <c r="B338" s="1" t="s">
        <v>96</v>
      </c>
      <c r="C338" s="1" t="s">
        <v>105</v>
      </c>
      <c r="D338" s="1" t="s">
        <v>1</v>
      </c>
      <c r="E338" s="1" t="s">
        <v>107</v>
      </c>
      <c r="F338">
        <v>1</v>
      </c>
      <c r="G338" s="1"/>
      <c r="H338" s="1" t="s">
        <v>367</v>
      </c>
      <c r="I338" s="1" t="s">
        <v>28</v>
      </c>
      <c r="J338" s="1" t="s">
        <v>31</v>
      </c>
      <c r="K338">
        <v>61</v>
      </c>
    </row>
    <row r="339" spans="1:11" x14ac:dyDescent="0.25">
      <c r="A339" s="18" t="str">
        <f xml:space="preserve">  MapNameLkup</f>
        <v>m_ofs_trex_ar_invoices</v>
      </c>
      <c r="B339" s="1" t="s">
        <v>96</v>
      </c>
      <c r="C339" s="1" t="s">
        <v>105</v>
      </c>
      <c r="D339" s="1" t="s">
        <v>1</v>
      </c>
      <c r="E339" s="1" t="s">
        <v>107</v>
      </c>
      <c r="F339">
        <v>1</v>
      </c>
      <c r="G339" s="1"/>
      <c r="H339" s="1" t="s">
        <v>368</v>
      </c>
      <c r="I339" s="1" t="s">
        <v>28</v>
      </c>
      <c r="J339" s="1" t="s">
        <v>31</v>
      </c>
      <c r="K339">
        <v>62</v>
      </c>
    </row>
    <row r="340" spans="1:11" x14ac:dyDescent="0.25">
      <c r="A340" s="18" t="str">
        <f xml:space="preserve">  MapNameLkup</f>
        <v>m_ofs_trex_ar_invoices</v>
      </c>
      <c r="B340" s="1" t="s">
        <v>96</v>
      </c>
      <c r="C340" s="1" t="s">
        <v>105</v>
      </c>
      <c r="D340" s="1" t="s">
        <v>1</v>
      </c>
      <c r="E340" s="1" t="s">
        <v>107</v>
      </c>
      <c r="F340">
        <v>1</v>
      </c>
      <c r="G340" s="1"/>
      <c r="H340" s="1" t="s">
        <v>369</v>
      </c>
      <c r="I340" s="1" t="s">
        <v>28</v>
      </c>
      <c r="J340" s="1" t="s">
        <v>31</v>
      </c>
      <c r="K340">
        <v>63</v>
      </c>
    </row>
    <row r="341" spans="1:11" x14ac:dyDescent="0.25">
      <c r="A341" s="18" t="str">
        <f xml:space="preserve">  MapNameLkup</f>
        <v>m_ofs_trex_ar_invoices</v>
      </c>
      <c r="B341" s="1" t="s">
        <v>96</v>
      </c>
      <c r="C341" s="1" t="s">
        <v>105</v>
      </c>
      <c r="D341" s="1" t="s">
        <v>1</v>
      </c>
      <c r="E341" s="1" t="s">
        <v>107</v>
      </c>
      <c r="F341">
        <v>1</v>
      </c>
      <c r="G341" s="1"/>
      <c r="H341" s="1" t="s">
        <v>370</v>
      </c>
      <c r="I341" s="1" t="s">
        <v>28</v>
      </c>
      <c r="J341" s="1" t="s">
        <v>31</v>
      </c>
      <c r="K341">
        <v>64</v>
      </c>
    </row>
    <row r="342" spans="1:11" x14ac:dyDescent="0.25">
      <c r="A342" s="18" t="str">
        <f xml:space="preserve">  MapNameLkup</f>
        <v>m_ofs_trex_ar_invoices</v>
      </c>
      <c r="B342" s="1" t="s">
        <v>96</v>
      </c>
      <c r="C342" s="1" t="s">
        <v>105</v>
      </c>
      <c r="D342" s="1" t="s">
        <v>1</v>
      </c>
      <c r="E342" s="1" t="s">
        <v>107</v>
      </c>
      <c r="F342">
        <v>1</v>
      </c>
      <c r="G342" s="1"/>
      <c r="H342" s="1" t="s">
        <v>371</v>
      </c>
      <c r="I342" s="1" t="s">
        <v>28</v>
      </c>
      <c r="J342" s="1" t="s">
        <v>31</v>
      </c>
      <c r="K342">
        <v>65</v>
      </c>
    </row>
    <row r="343" spans="1:11" x14ac:dyDescent="0.25">
      <c r="A343" s="18" t="str">
        <f xml:space="preserve">  MapNameLkup</f>
        <v>m_ofs_trex_ar_invoices</v>
      </c>
      <c r="B343" s="1" t="s">
        <v>96</v>
      </c>
      <c r="C343" s="1" t="s">
        <v>105</v>
      </c>
      <c r="D343" s="1" t="s">
        <v>1</v>
      </c>
      <c r="E343" s="1" t="s">
        <v>107</v>
      </c>
      <c r="F343">
        <v>1</v>
      </c>
      <c r="G343" s="1"/>
      <c r="H343" s="1" t="s">
        <v>372</v>
      </c>
      <c r="I343" s="1" t="s">
        <v>28</v>
      </c>
      <c r="J343" s="1" t="s">
        <v>31</v>
      </c>
      <c r="K343">
        <v>66</v>
      </c>
    </row>
    <row r="344" spans="1:11" x14ac:dyDescent="0.25">
      <c r="A344" s="18" t="str">
        <f xml:space="preserve">  MapNameLkup</f>
        <v>m_ofs_trex_ar_invoices</v>
      </c>
      <c r="B344" s="1" t="s">
        <v>96</v>
      </c>
      <c r="C344" s="1" t="s">
        <v>105</v>
      </c>
      <c r="D344" s="1" t="s">
        <v>1</v>
      </c>
      <c r="E344" s="1" t="s">
        <v>107</v>
      </c>
      <c r="F344">
        <v>1</v>
      </c>
      <c r="G344" s="1"/>
      <c r="H344" s="1" t="s">
        <v>373</v>
      </c>
      <c r="I344" s="1" t="s">
        <v>28</v>
      </c>
      <c r="J344" s="1" t="s">
        <v>31</v>
      </c>
      <c r="K344">
        <v>67</v>
      </c>
    </row>
    <row r="345" spans="1:11" x14ac:dyDescent="0.25">
      <c r="A345" s="18" t="str">
        <f xml:space="preserve">  MapNameLkup</f>
        <v>m_ofs_trex_ar_invoices</v>
      </c>
      <c r="B345" s="1" t="s">
        <v>96</v>
      </c>
      <c r="C345" s="1" t="s">
        <v>105</v>
      </c>
      <c r="D345" s="1" t="s">
        <v>1</v>
      </c>
      <c r="E345" s="1" t="s">
        <v>107</v>
      </c>
      <c r="F345">
        <v>1</v>
      </c>
      <c r="G345" s="1"/>
      <c r="H345" s="1" t="s">
        <v>163</v>
      </c>
      <c r="I345" s="1" t="s">
        <v>28</v>
      </c>
      <c r="J345" s="1" t="s">
        <v>31</v>
      </c>
      <c r="K345">
        <v>68</v>
      </c>
    </row>
    <row r="346" spans="1:11" x14ac:dyDescent="0.25">
      <c r="A346" s="18" t="str">
        <f xml:space="preserve">  MapNameLkup</f>
        <v>m_ofs_trex_ar_invoices</v>
      </c>
      <c r="B346" s="1" t="s">
        <v>96</v>
      </c>
      <c r="C346" s="1" t="s">
        <v>105</v>
      </c>
      <c r="D346" s="1" t="s">
        <v>1</v>
      </c>
      <c r="E346" s="1" t="s">
        <v>107</v>
      </c>
      <c r="F346">
        <v>1</v>
      </c>
      <c r="G346" s="1"/>
      <c r="H346" s="1" t="s">
        <v>164</v>
      </c>
      <c r="I346" s="1" t="s">
        <v>28</v>
      </c>
      <c r="J346" s="1" t="s">
        <v>31</v>
      </c>
      <c r="K346">
        <v>69</v>
      </c>
    </row>
    <row r="347" spans="1:11" x14ac:dyDescent="0.25">
      <c r="A347" s="18" t="str">
        <f xml:space="preserve">  MapNameLkup</f>
        <v>m_ofs_trex_ar_invoices</v>
      </c>
      <c r="B347" s="1" t="s">
        <v>96</v>
      </c>
      <c r="C347" s="1" t="s">
        <v>105</v>
      </c>
      <c r="D347" s="1" t="s">
        <v>1</v>
      </c>
      <c r="E347" s="1" t="s">
        <v>107</v>
      </c>
      <c r="F347">
        <v>1</v>
      </c>
      <c r="G347" s="1"/>
      <c r="H347" s="1" t="s">
        <v>165</v>
      </c>
      <c r="I347" s="1" t="s">
        <v>28</v>
      </c>
      <c r="J347" s="1" t="s">
        <v>31</v>
      </c>
      <c r="K347">
        <v>70</v>
      </c>
    </row>
    <row r="348" spans="1:11" x14ac:dyDescent="0.25">
      <c r="A348" s="18" t="str">
        <f xml:space="preserve">  MapNameLkup</f>
        <v>m_ofs_trex_ar_invoices</v>
      </c>
      <c r="B348" s="1" t="s">
        <v>96</v>
      </c>
      <c r="C348" s="1" t="s">
        <v>105</v>
      </c>
      <c r="D348" s="1" t="s">
        <v>1</v>
      </c>
      <c r="E348" s="1" t="s">
        <v>107</v>
      </c>
      <c r="F348">
        <v>1</v>
      </c>
      <c r="G348" s="1"/>
      <c r="H348" s="1" t="s">
        <v>166</v>
      </c>
      <c r="I348" s="1" t="s">
        <v>28</v>
      </c>
      <c r="J348" s="1" t="s">
        <v>31</v>
      </c>
      <c r="K348">
        <v>71</v>
      </c>
    </row>
    <row r="349" spans="1:11" x14ac:dyDescent="0.25">
      <c r="A349" s="18" t="str">
        <f xml:space="preserve">  MapNameLkup</f>
        <v>m_ofs_trex_ar_invoices</v>
      </c>
      <c r="B349" s="1" t="s">
        <v>96</v>
      </c>
      <c r="C349" s="1" t="s">
        <v>105</v>
      </c>
      <c r="D349" s="1" t="s">
        <v>1</v>
      </c>
      <c r="E349" s="1" t="s">
        <v>107</v>
      </c>
      <c r="F349">
        <v>1</v>
      </c>
      <c r="G349" s="1"/>
      <c r="H349" s="1" t="s">
        <v>167</v>
      </c>
      <c r="I349" s="1" t="s">
        <v>28</v>
      </c>
      <c r="J349" s="1" t="s">
        <v>31</v>
      </c>
      <c r="K349">
        <v>72</v>
      </c>
    </row>
    <row r="350" spans="1:11" x14ac:dyDescent="0.25">
      <c r="A350" s="18" t="str">
        <f xml:space="preserve">  MapNameLkup</f>
        <v>m_ofs_trex_ar_invoices</v>
      </c>
      <c r="B350" s="1" t="s">
        <v>96</v>
      </c>
      <c r="C350" s="1" t="s">
        <v>105</v>
      </c>
      <c r="D350" s="1" t="s">
        <v>1</v>
      </c>
      <c r="E350" s="1" t="s">
        <v>107</v>
      </c>
      <c r="F350">
        <v>1</v>
      </c>
      <c r="G350" s="1"/>
      <c r="H350" s="1" t="s">
        <v>168</v>
      </c>
      <c r="I350" s="1" t="s">
        <v>28</v>
      </c>
      <c r="J350" s="1" t="s">
        <v>31</v>
      </c>
      <c r="K350">
        <v>73</v>
      </c>
    </row>
    <row r="351" spans="1:11" x14ac:dyDescent="0.25">
      <c r="A351" s="18" t="str">
        <f xml:space="preserve">  MapNameLkup</f>
        <v>m_ofs_trex_ar_invoices</v>
      </c>
      <c r="B351" s="1" t="s">
        <v>96</v>
      </c>
      <c r="C351" s="1" t="s">
        <v>105</v>
      </c>
      <c r="D351" s="1" t="s">
        <v>1</v>
      </c>
      <c r="E351" s="1" t="s">
        <v>107</v>
      </c>
      <c r="F351">
        <v>1</v>
      </c>
      <c r="G351" s="1"/>
      <c r="H351" s="1" t="s">
        <v>169</v>
      </c>
      <c r="I351" s="1" t="s">
        <v>28</v>
      </c>
      <c r="J351" s="1" t="s">
        <v>31</v>
      </c>
      <c r="K351">
        <v>74</v>
      </c>
    </row>
    <row r="352" spans="1:11" x14ac:dyDescent="0.25">
      <c r="A352" s="18" t="str">
        <f xml:space="preserve">  MapNameLkup</f>
        <v>m_ofs_trex_ar_invoices</v>
      </c>
      <c r="B352" s="1" t="s">
        <v>96</v>
      </c>
      <c r="C352" s="1" t="s">
        <v>105</v>
      </c>
      <c r="D352" s="1" t="s">
        <v>1</v>
      </c>
      <c r="E352" s="1" t="s">
        <v>107</v>
      </c>
      <c r="F352">
        <v>1</v>
      </c>
      <c r="G352" s="1"/>
      <c r="H352" s="1" t="s">
        <v>170</v>
      </c>
      <c r="I352" s="1" t="s">
        <v>28</v>
      </c>
      <c r="J352" s="1" t="s">
        <v>31</v>
      </c>
      <c r="K352">
        <v>75</v>
      </c>
    </row>
    <row r="353" spans="1:11" x14ac:dyDescent="0.25">
      <c r="A353" s="18" t="str">
        <f xml:space="preserve">  MapNameLkup</f>
        <v>m_ofs_trex_ar_invoices</v>
      </c>
      <c r="B353" s="1" t="s">
        <v>96</v>
      </c>
      <c r="C353" s="1" t="s">
        <v>105</v>
      </c>
      <c r="D353" s="1" t="s">
        <v>1</v>
      </c>
      <c r="E353" s="1" t="s">
        <v>107</v>
      </c>
      <c r="F353">
        <v>1</v>
      </c>
      <c r="G353" s="1"/>
      <c r="H353" s="1" t="s">
        <v>171</v>
      </c>
      <c r="I353" s="1" t="s">
        <v>28</v>
      </c>
      <c r="J353" s="1" t="s">
        <v>31</v>
      </c>
      <c r="K353">
        <v>76</v>
      </c>
    </row>
    <row r="354" spans="1:11" x14ac:dyDescent="0.25">
      <c r="A354" s="18" t="str">
        <f xml:space="preserve">  MapNameLkup</f>
        <v>m_ofs_trex_ar_invoices</v>
      </c>
      <c r="B354" s="1" t="s">
        <v>96</v>
      </c>
      <c r="C354" s="1" t="s">
        <v>105</v>
      </c>
      <c r="D354" s="1" t="s">
        <v>1</v>
      </c>
      <c r="E354" s="1" t="s">
        <v>107</v>
      </c>
      <c r="F354">
        <v>1</v>
      </c>
      <c r="G354" s="1"/>
      <c r="H354" s="1" t="s">
        <v>172</v>
      </c>
      <c r="I354" s="1" t="s">
        <v>28</v>
      </c>
      <c r="J354" s="1" t="s">
        <v>31</v>
      </c>
      <c r="K354">
        <v>77</v>
      </c>
    </row>
    <row r="355" spans="1:11" x14ac:dyDescent="0.25">
      <c r="A355" s="18" t="str">
        <f xml:space="preserve">  MapNameLkup</f>
        <v>m_ofs_trex_ar_invoices</v>
      </c>
      <c r="B355" s="1" t="s">
        <v>96</v>
      </c>
      <c r="C355" s="1" t="s">
        <v>105</v>
      </c>
      <c r="D355" s="1" t="s">
        <v>1</v>
      </c>
      <c r="E355" s="1" t="s">
        <v>107</v>
      </c>
      <c r="F355">
        <v>1</v>
      </c>
      <c r="G355" s="1"/>
      <c r="H355" s="1" t="s">
        <v>173</v>
      </c>
      <c r="I355" s="1" t="s">
        <v>28</v>
      </c>
      <c r="J355" s="1" t="s">
        <v>31</v>
      </c>
      <c r="K355">
        <v>78</v>
      </c>
    </row>
    <row r="356" spans="1:11" x14ac:dyDescent="0.25">
      <c r="A356" s="18" t="str">
        <f xml:space="preserve">  MapNameLkup</f>
        <v>m_ofs_trex_ar_invoices</v>
      </c>
      <c r="B356" s="1" t="s">
        <v>96</v>
      </c>
      <c r="C356" s="1" t="s">
        <v>105</v>
      </c>
      <c r="D356" s="1" t="s">
        <v>1</v>
      </c>
      <c r="E356" s="1" t="s">
        <v>107</v>
      </c>
      <c r="F356">
        <v>1</v>
      </c>
      <c r="G356" s="1"/>
      <c r="H356" s="1" t="s">
        <v>374</v>
      </c>
      <c r="I356" s="1" t="s">
        <v>28</v>
      </c>
      <c r="J356" s="1" t="s">
        <v>31</v>
      </c>
      <c r="K356">
        <v>79</v>
      </c>
    </row>
    <row r="357" spans="1:11" x14ac:dyDescent="0.25">
      <c r="A357" s="18" t="str">
        <f xml:space="preserve">  MapNameLkup</f>
        <v>m_ofs_trex_ar_invoices</v>
      </c>
      <c r="B357" s="1" t="s">
        <v>96</v>
      </c>
      <c r="C357" s="1" t="s">
        <v>105</v>
      </c>
      <c r="D357" s="1" t="s">
        <v>1</v>
      </c>
      <c r="E357" s="1" t="s">
        <v>107</v>
      </c>
      <c r="F357">
        <v>1</v>
      </c>
      <c r="G357" s="1"/>
      <c r="H357" s="1" t="s">
        <v>375</v>
      </c>
      <c r="I357" s="1" t="s">
        <v>28</v>
      </c>
      <c r="J357" s="1" t="s">
        <v>31</v>
      </c>
      <c r="K357">
        <v>80</v>
      </c>
    </row>
    <row r="358" spans="1:11" x14ac:dyDescent="0.25">
      <c r="A358" s="18" t="str">
        <f xml:space="preserve">  MapNameLkup</f>
        <v>m_ofs_trex_ar_invoices</v>
      </c>
      <c r="B358" s="1" t="s">
        <v>96</v>
      </c>
      <c r="C358" s="1" t="s">
        <v>105</v>
      </c>
      <c r="D358" s="1" t="s">
        <v>1</v>
      </c>
      <c r="E358" s="1" t="s">
        <v>107</v>
      </c>
      <c r="F358">
        <v>1</v>
      </c>
      <c r="G358" s="1"/>
      <c r="H358" s="1" t="s">
        <v>207</v>
      </c>
      <c r="I358" s="1" t="s">
        <v>28</v>
      </c>
      <c r="J358" s="1" t="s">
        <v>31</v>
      </c>
      <c r="K358">
        <v>81</v>
      </c>
    </row>
    <row r="359" spans="1:11" x14ac:dyDescent="0.25">
      <c r="A359" s="18" t="str">
        <f xml:space="preserve">  MapNameLkup</f>
        <v>m_ofs_trex_ar_invoices</v>
      </c>
      <c r="B359" s="1" t="s">
        <v>96</v>
      </c>
      <c r="C359" s="1" t="s">
        <v>105</v>
      </c>
      <c r="D359" s="1" t="s">
        <v>1</v>
      </c>
      <c r="E359" s="1" t="s">
        <v>107</v>
      </c>
      <c r="F359">
        <v>1</v>
      </c>
      <c r="G359" s="1"/>
      <c r="H359" s="1" t="s">
        <v>208</v>
      </c>
      <c r="I359" s="1" t="s">
        <v>28</v>
      </c>
      <c r="J359" s="1" t="s">
        <v>31</v>
      </c>
      <c r="K359">
        <v>82</v>
      </c>
    </row>
    <row r="360" spans="1:11" x14ac:dyDescent="0.25">
      <c r="A360" s="18" t="str">
        <f xml:space="preserve">  MapNameLkup</f>
        <v>m_ofs_trex_ar_invoices</v>
      </c>
      <c r="B360" s="1" t="s">
        <v>96</v>
      </c>
      <c r="C360" s="1" t="s">
        <v>105</v>
      </c>
      <c r="D360" s="1" t="s">
        <v>1</v>
      </c>
      <c r="E360" s="1" t="s">
        <v>107</v>
      </c>
      <c r="F360">
        <v>1</v>
      </c>
      <c r="G360" s="1"/>
      <c r="H360" s="1" t="s">
        <v>209</v>
      </c>
      <c r="I360" s="1" t="s">
        <v>28</v>
      </c>
      <c r="J360" s="1" t="s">
        <v>31</v>
      </c>
      <c r="K360">
        <v>83</v>
      </c>
    </row>
    <row r="361" spans="1:11" x14ac:dyDescent="0.25">
      <c r="A361" s="18" t="str">
        <f xml:space="preserve">  MapNameLkup</f>
        <v>m_ofs_trex_ar_invoices</v>
      </c>
      <c r="B361" s="1" t="s">
        <v>96</v>
      </c>
      <c r="C361" s="1" t="s">
        <v>105</v>
      </c>
      <c r="D361" s="1" t="s">
        <v>1</v>
      </c>
      <c r="E361" s="1" t="s">
        <v>107</v>
      </c>
      <c r="F361">
        <v>1</v>
      </c>
      <c r="G361" s="1"/>
      <c r="H361" s="1" t="s">
        <v>210</v>
      </c>
      <c r="I361" s="1" t="s">
        <v>28</v>
      </c>
      <c r="J361" s="1" t="s">
        <v>31</v>
      </c>
      <c r="K361">
        <v>84</v>
      </c>
    </row>
    <row r="362" spans="1:11" x14ac:dyDescent="0.25">
      <c r="A362" s="18" t="str">
        <f xml:space="preserve">  MapNameLkup</f>
        <v>m_ofs_trex_ar_invoices</v>
      </c>
      <c r="B362" s="1" t="s">
        <v>96</v>
      </c>
      <c r="C362" s="1" t="s">
        <v>105</v>
      </c>
      <c r="D362" s="1" t="s">
        <v>1</v>
      </c>
      <c r="E362" s="1" t="s">
        <v>107</v>
      </c>
      <c r="F362">
        <v>1</v>
      </c>
      <c r="G362" s="1"/>
      <c r="H362" s="1" t="s">
        <v>211</v>
      </c>
      <c r="I362" s="1" t="s">
        <v>28</v>
      </c>
      <c r="J362" s="1" t="s">
        <v>31</v>
      </c>
      <c r="K362">
        <v>85</v>
      </c>
    </row>
    <row r="363" spans="1:11" x14ac:dyDescent="0.25">
      <c r="A363" s="18" t="str">
        <f xml:space="preserve">  MapNameLkup</f>
        <v>m_ofs_trex_ar_invoices</v>
      </c>
      <c r="B363" s="1" t="s">
        <v>96</v>
      </c>
      <c r="C363" s="1" t="s">
        <v>105</v>
      </c>
      <c r="D363" s="1" t="s">
        <v>1</v>
      </c>
      <c r="E363" s="1" t="s">
        <v>107</v>
      </c>
      <c r="F363">
        <v>1</v>
      </c>
      <c r="G363" s="1"/>
      <c r="H363" s="1" t="s">
        <v>376</v>
      </c>
      <c r="I363" s="1" t="s">
        <v>28</v>
      </c>
      <c r="J363" s="1" t="s">
        <v>32</v>
      </c>
      <c r="K363">
        <v>86</v>
      </c>
    </row>
    <row r="364" spans="1:11" x14ac:dyDescent="0.25">
      <c r="A364" s="18" t="str">
        <f xml:space="preserve">  MapNameLkup</f>
        <v>m_ofs_trex_ar_invoices</v>
      </c>
      <c r="B364" s="1" t="s">
        <v>96</v>
      </c>
      <c r="C364" s="1" t="s">
        <v>105</v>
      </c>
      <c r="D364" s="1" t="s">
        <v>1</v>
      </c>
      <c r="E364" s="1" t="s">
        <v>107</v>
      </c>
      <c r="F364">
        <v>1</v>
      </c>
      <c r="G364" s="1"/>
      <c r="H364" s="1" t="s">
        <v>377</v>
      </c>
      <c r="I364" s="1" t="s">
        <v>28</v>
      </c>
      <c r="J364" s="1" t="s">
        <v>32</v>
      </c>
      <c r="K364">
        <v>87</v>
      </c>
    </row>
    <row r="365" spans="1:11" x14ac:dyDescent="0.25">
      <c r="A365" s="18" t="str">
        <f xml:space="preserve">  MapNameLkup</f>
        <v>m_ofs_trex_ar_invoices</v>
      </c>
      <c r="B365" s="1" t="s">
        <v>96</v>
      </c>
      <c r="C365" s="1" t="s">
        <v>105</v>
      </c>
      <c r="D365" s="1" t="s">
        <v>1</v>
      </c>
      <c r="E365" s="1" t="s">
        <v>107</v>
      </c>
      <c r="F365">
        <v>1</v>
      </c>
      <c r="G365" s="1"/>
      <c r="H365" s="1" t="s">
        <v>378</v>
      </c>
      <c r="I365" s="1" t="s">
        <v>28</v>
      </c>
      <c r="J365" s="1" t="s">
        <v>31</v>
      </c>
      <c r="K365">
        <v>88</v>
      </c>
    </row>
    <row r="366" spans="1:11" x14ac:dyDescent="0.25">
      <c r="A366" s="18" t="str">
        <f xml:space="preserve">  MapNameLkup</f>
        <v>m_ofs_trex_ar_invoices</v>
      </c>
      <c r="B366" s="1" t="s">
        <v>96</v>
      </c>
      <c r="C366" s="1" t="s">
        <v>105</v>
      </c>
      <c r="D366" s="1" t="s">
        <v>1</v>
      </c>
      <c r="E366" s="1" t="s">
        <v>107</v>
      </c>
      <c r="F366">
        <v>1</v>
      </c>
      <c r="G366" s="1"/>
      <c r="H366" s="1" t="s">
        <v>379</v>
      </c>
      <c r="I366" s="1" t="s">
        <v>28</v>
      </c>
      <c r="J366" s="1" t="s">
        <v>31</v>
      </c>
      <c r="K366">
        <v>89</v>
      </c>
    </row>
    <row r="367" spans="1:11" x14ac:dyDescent="0.25">
      <c r="A367" s="18" t="str">
        <f xml:space="preserve">  MapNameLkup</f>
        <v>m_ofs_trex_ar_invoices</v>
      </c>
      <c r="B367" s="1" t="s">
        <v>96</v>
      </c>
      <c r="C367" s="1" t="s">
        <v>105</v>
      </c>
      <c r="D367" s="1" t="s">
        <v>1</v>
      </c>
      <c r="E367" s="1" t="s">
        <v>107</v>
      </c>
      <c r="F367">
        <v>1</v>
      </c>
      <c r="G367" s="1"/>
      <c r="H367" s="1" t="s">
        <v>380</v>
      </c>
      <c r="I367" s="1" t="s">
        <v>28</v>
      </c>
      <c r="J367" s="1" t="s">
        <v>31</v>
      </c>
      <c r="K367">
        <v>90</v>
      </c>
    </row>
    <row r="368" spans="1:11" x14ac:dyDescent="0.25">
      <c r="A368" s="18" t="str">
        <f xml:space="preserve">  MapNameLkup</f>
        <v>m_ofs_trex_ar_invoices</v>
      </c>
      <c r="B368" s="1" t="s">
        <v>96</v>
      </c>
      <c r="C368" s="1" t="s">
        <v>105</v>
      </c>
      <c r="D368" s="1" t="s">
        <v>1</v>
      </c>
      <c r="E368" s="1" t="s">
        <v>107</v>
      </c>
      <c r="F368">
        <v>1</v>
      </c>
      <c r="G368" s="1"/>
      <c r="H368" s="1" t="s">
        <v>381</v>
      </c>
      <c r="I368" s="1" t="s">
        <v>28</v>
      </c>
      <c r="J368" s="1" t="s">
        <v>31</v>
      </c>
      <c r="K368">
        <v>91</v>
      </c>
    </row>
    <row r="369" spans="1:11" x14ac:dyDescent="0.25">
      <c r="A369" s="18" t="str">
        <f xml:space="preserve">  MapNameLkup</f>
        <v>m_ofs_trex_ar_invoices</v>
      </c>
      <c r="B369" s="1" t="s">
        <v>96</v>
      </c>
      <c r="C369" s="1" t="s">
        <v>105</v>
      </c>
      <c r="D369" s="1" t="s">
        <v>1</v>
      </c>
      <c r="E369" s="1" t="s">
        <v>107</v>
      </c>
      <c r="F369">
        <v>1</v>
      </c>
      <c r="G369" s="1"/>
      <c r="H369" s="1" t="s">
        <v>382</v>
      </c>
      <c r="I369" s="1" t="s">
        <v>28</v>
      </c>
      <c r="J369" s="1" t="s">
        <v>31</v>
      </c>
      <c r="K369">
        <v>92</v>
      </c>
    </row>
    <row r="370" spans="1:11" x14ac:dyDescent="0.25">
      <c r="A370" s="18" t="str">
        <f xml:space="preserve">  MapNameLkup</f>
        <v>m_ofs_trex_ar_invoices</v>
      </c>
      <c r="B370" s="1" t="s">
        <v>96</v>
      </c>
      <c r="C370" s="1" t="s">
        <v>105</v>
      </c>
      <c r="D370" s="1" t="s">
        <v>1</v>
      </c>
      <c r="E370" s="1" t="s">
        <v>107</v>
      </c>
      <c r="F370">
        <v>1</v>
      </c>
      <c r="G370" s="1"/>
      <c r="H370" s="1" t="s">
        <v>383</v>
      </c>
      <c r="I370" s="1" t="s">
        <v>28</v>
      </c>
      <c r="J370" s="1" t="s">
        <v>31</v>
      </c>
      <c r="K370">
        <v>93</v>
      </c>
    </row>
    <row r="371" spans="1:11" x14ac:dyDescent="0.25">
      <c r="A371" s="18" t="str">
        <f xml:space="preserve">  MapNameLkup</f>
        <v>m_ofs_trex_ar_invoices</v>
      </c>
      <c r="B371" s="1" t="s">
        <v>96</v>
      </c>
      <c r="C371" s="1" t="s">
        <v>105</v>
      </c>
      <c r="D371" s="1" t="s">
        <v>1</v>
      </c>
      <c r="E371" s="1" t="s">
        <v>107</v>
      </c>
      <c r="F371">
        <v>1</v>
      </c>
      <c r="G371" s="1"/>
      <c r="H371" s="1" t="s">
        <v>384</v>
      </c>
      <c r="I371" s="1" t="s">
        <v>28</v>
      </c>
      <c r="J371" s="1" t="s">
        <v>31</v>
      </c>
      <c r="K371">
        <v>94</v>
      </c>
    </row>
    <row r="372" spans="1:11" x14ac:dyDescent="0.25">
      <c r="A372" s="18" t="str">
        <f xml:space="preserve">  MapNameLkup</f>
        <v>m_ofs_trex_ar_invoices</v>
      </c>
      <c r="B372" s="1" t="s">
        <v>96</v>
      </c>
      <c r="C372" s="1" t="s">
        <v>105</v>
      </c>
      <c r="D372" s="1" t="s">
        <v>1</v>
      </c>
      <c r="E372" s="1" t="s">
        <v>107</v>
      </c>
      <c r="F372">
        <v>1</v>
      </c>
      <c r="G372" s="1"/>
      <c r="H372" s="1" t="s">
        <v>385</v>
      </c>
      <c r="I372" s="1" t="s">
        <v>28</v>
      </c>
      <c r="J372" s="1" t="s">
        <v>31</v>
      </c>
      <c r="K372">
        <v>95</v>
      </c>
    </row>
    <row r="373" spans="1:11" x14ac:dyDescent="0.25">
      <c r="A373" s="18" t="str">
        <f xml:space="preserve">  MapNameLkup</f>
        <v>m_ofs_trex_ar_invoices</v>
      </c>
      <c r="B373" s="1" t="s">
        <v>96</v>
      </c>
      <c r="C373" s="1" t="s">
        <v>105</v>
      </c>
      <c r="D373" s="1" t="s">
        <v>1</v>
      </c>
      <c r="E373" s="1" t="s">
        <v>107</v>
      </c>
      <c r="F373">
        <v>1</v>
      </c>
      <c r="G373" s="1"/>
      <c r="H373" s="1" t="s">
        <v>386</v>
      </c>
      <c r="I373" s="1" t="s">
        <v>28</v>
      </c>
      <c r="J373" s="1" t="s">
        <v>31</v>
      </c>
      <c r="K373">
        <v>96</v>
      </c>
    </row>
    <row r="374" spans="1:11" x14ac:dyDescent="0.25">
      <c r="A374" s="18" t="str">
        <f xml:space="preserve">  MapNameLkup</f>
        <v>m_ofs_trex_ar_invoices</v>
      </c>
      <c r="B374" s="1" t="s">
        <v>96</v>
      </c>
      <c r="C374" s="1" t="s">
        <v>105</v>
      </c>
      <c r="D374" s="1" t="s">
        <v>1</v>
      </c>
      <c r="E374" s="1" t="s">
        <v>107</v>
      </c>
      <c r="F374">
        <v>1</v>
      </c>
      <c r="G374" s="1"/>
      <c r="H374" s="1" t="s">
        <v>159</v>
      </c>
      <c r="I374" s="1" t="s">
        <v>28</v>
      </c>
      <c r="J374" s="1" t="s">
        <v>31</v>
      </c>
      <c r="K374">
        <v>97</v>
      </c>
    </row>
    <row r="375" spans="1:11" x14ac:dyDescent="0.25">
      <c r="A375" s="18" t="str">
        <f xml:space="preserve">  MapNameLkup</f>
        <v>m_ofs_trex_ar_invoices</v>
      </c>
      <c r="B375" s="1" t="s">
        <v>96</v>
      </c>
      <c r="C375" s="1" t="s">
        <v>105</v>
      </c>
      <c r="D375" s="1" t="s">
        <v>1</v>
      </c>
      <c r="E375" s="1" t="s">
        <v>107</v>
      </c>
      <c r="F375">
        <v>1</v>
      </c>
      <c r="G375" s="1"/>
      <c r="H375" s="1" t="s">
        <v>219</v>
      </c>
      <c r="I375" s="1" t="s">
        <v>28</v>
      </c>
      <c r="J375" s="1" t="s">
        <v>31</v>
      </c>
      <c r="K375">
        <v>98</v>
      </c>
    </row>
    <row r="376" spans="1:11" x14ac:dyDescent="0.25">
      <c r="A376" s="18" t="str">
        <f xml:space="preserve">  MapNameLkup</f>
        <v>m_ofs_trex_ar_invoices</v>
      </c>
      <c r="B376" s="1" t="s">
        <v>96</v>
      </c>
      <c r="C376" s="1" t="s">
        <v>105</v>
      </c>
      <c r="D376" s="1" t="s">
        <v>1</v>
      </c>
      <c r="E376" s="1" t="s">
        <v>107</v>
      </c>
      <c r="F376">
        <v>1</v>
      </c>
      <c r="G376" s="1"/>
      <c r="H376" s="1" t="s">
        <v>220</v>
      </c>
      <c r="I376" s="1" t="s">
        <v>28</v>
      </c>
      <c r="J376" s="1" t="s">
        <v>31</v>
      </c>
      <c r="K376">
        <v>99</v>
      </c>
    </row>
    <row r="377" spans="1:11" x14ac:dyDescent="0.25">
      <c r="A377" s="18" t="str">
        <f xml:space="preserve">  MapNameLkup</f>
        <v>m_ofs_trex_ar_invoices</v>
      </c>
      <c r="B377" s="1" t="s">
        <v>96</v>
      </c>
      <c r="C377" s="1" t="s">
        <v>105</v>
      </c>
      <c r="D377" s="1" t="s">
        <v>1</v>
      </c>
      <c r="E377" s="1" t="s">
        <v>107</v>
      </c>
      <c r="F377">
        <v>1</v>
      </c>
      <c r="G377" s="1"/>
      <c r="H377" s="1" t="s">
        <v>221</v>
      </c>
      <c r="I377" s="1" t="s">
        <v>28</v>
      </c>
      <c r="J377" s="1" t="s">
        <v>31</v>
      </c>
      <c r="K377">
        <v>100</v>
      </c>
    </row>
    <row r="378" spans="1:11" x14ac:dyDescent="0.25">
      <c r="A378" s="18" t="str">
        <f xml:space="preserve">  MapNameLkup</f>
        <v>m_ofs_trex_ar_invoices</v>
      </c>
      <c r="B378" s="1" t="s">
        <v>96</v>
      </c>
      <c r="C378" s="1" t="s">
        <v>105</v>
      </c>
      <c r="D378" s="1" t="s">
        <v>1</v>
      </c>
      <c r="E378" s="1" t="s">
        <v>107</v>
      </c>
      <c r="F378">
        <v>1</v>
      </c>
      <c r="G378" s="1"/>
      <c r="H378" s="1" t="s">
        <v>222</v>
      </c>
      <c r="I378" s="1" t="s">
        <v>28</v>
      </c>
      <c r="J378" s="1" t="s">
        <v>31</v>
      </c>
      <c r="K378">
        <v>101</v>
      </c>
    </row>
    <row r="379" spans="1:11" x14ac:dyDescent="0.25">
      <c r="A379" s="18" t="str">
        <f xml:space="preserve">  MapNameLkup</f>
        <v>m_ofs_trex_ar_invoices</v>
      </c>
      <c r="B379" s="1" t="s">
        <v>96</v>
      </c>
      <c r="C379" s="1" t="s">
        <v>105</v>
      </c>
      <c r="D379" s="1" t="s">
        <v>1</v>
      </c>
      <c r="E379" s="1" t="s">
        <v>107</v>
      </c>
      <c r="F379">
        <v>1</v>
      </c>
      <c r="G379" s="1"/>
      <c r="H379" s="1" t="s">
        <v>223</v>
      </c>
      <c r="I379" s="1" t="s">
        <v>28</v>
      </c>
      <c r="J379" s="1" t="s">
        <v>31</v>
      </c>
      <c r="K379">
        <v>102</v>
      </c>
    </row>
    <row r="380" spans="1:11" x14ac:dyDescent="0.25">
      <c r="A380" s="18" t="str">
        <f xml:space="preserve">  MapNameLkup</f>
        <v>m_ofs_trex_ar_invoices</v>
      </c>
      <c r="B380" s="1" t="s">
        <v>96</v>
      </c>
      <c r="C380" s="1" t="s">
        <v>105</v>
      </c>
      <c r="D380" s="1" t="s">
        <v>1</v>
      </c>
      <c r="E380" s="1" t="s">
        <v>107</v>
      </c>
      <c r="F380">
        <v>1</v>
      </c>
      <c r="G380" s="1"/>
      <c r="H380" s="1" t="s">
        <v>224</v>
      </c>
      <c r="I380" s="1" t="s">
        <v>28</v>
      </c>
      <c r="J380" s="1" t="s">
        <v>31</v>
      </c>
      <c r="K380">
        <v>103</v>
      </c>
    </row>
    <row r="381" spans="1:11" x14ac:dyDescent="0.25">
      <c r="A381" s="18" t="str">
        <f xml:space="preserve">  MapNameLkup</f>
        <v>m_ofs_trex_ar_invoices</v>
      </c>
      <c r="B381" s="1" t="s">
        <v>96</v>
      </c>
      <c r="C381" s="1" t="s">
        <v>105</v>
      </c>
      <c r="D381" s="1" t="s">
        <v>1</v>
      </c>
      <c r="E381" s="1" t="s">
        <v>107</v>
      </c>
      <c r="F381">
        <v>1</v>
      </c>
      <c r="G381" s="1"/>
      <c r="H381" s="1" t="s">
        <v>225</v>
      </c>
      <c r="I381" s="1" t="s">
        <v>28</v>
      </c>
      <c r="J381" s="1" t="s">
        <v>31</v>
      </c>
      <c r="K381">
        <v>104</v>
      </c>
    </row>
    <row r="382" spans="1:11" x14ac:dyDescent="0.25">
      <c r="A382" s="18" t="str">
        <f xml:space="preserve">  MapNameLkup</f>
        <v>m_ofs_trex_ar_invoices</v>
      </c>
      <c r="B382" s="1" t="s">
        <v>96</v>
      </c>
      <c r="C382" s="1" t="s">
        <v>105</v>
      </c>
      <c r="D382" s="1" t="s">
        <v>1</v>
      </c>
      <c r="E382" s="1" t="s">
        <v>107</v>
      </c>
      <c r="F382">
        <v>1</v>
      </c>
      <c r="G382" s="1"/>
      <c r="H382" s="1" t="s">
        <v>226</v>
      </c>
      <c r="I382" s="1" t="s">
        <v>28</v>
      </c>
      <c r="J382" s="1" t="s">
        <v>31</v>
      </c>
      <c r="K382">
        <v>105</v>
      </c>
    </row>
    <row r="383" spans="1:11" x14ac:dyDescent="0.25">
      <c r="A383" s="18" t="str">
        <f xml:space="preserve">  MapNameLkup</f>
        <v>m_ofs_trex_ar_invoices</v>
      </c>
      <c r="B383" s="1" t="s">
        <v>96</v>
      </c>
      <c r="C383" s="1" t="s">
        <v>105</v>
      </c>
      <c r="D383" s="1" t="s">
        <v>1</v>
      </c>
      <c r="E383" s="1" t="s">
        <v>107</v>
      </c>
      <c r="F383">
        <v>1</v>
      </c>
      <c r="G383" s="1"/>
      <c r="H383" s="1" t="s">
        <v>227</v>
      </c>
      <c r="I383" s="1" t="s">
        <v>28</v>
      </c>
      <c r="J383" s="1" t="s">
        <v>31</v>
      </c>
      <c r="K383">
        <v>106</v>
      </c>
    </row>
    <row r="384" spans="1:11" x14ac:dyDescent="0.25">
      <c r="A384" s="18" t="str">
        <f xml:space="preserve">  MapNameLkup</f>
        <v>m_ofs_trex_ar_invoices</v>
      </c>
      <c r="B384" s="1" t="s">
        <v>96</v>
      </c>
      <c r="C384" s="1" t="s">
        <v>105</v>
      </c>
      <c r="D384" s="1" t="s">
        <v>1</v>
      </c>
      <c r="E384" s="1" t="s">
        <v>107</v>
      </c>
      <c r="F384">
        <v>1</v>
      </c>
      <c r="G384" s="1"/>
      <c r="H384" s="1" t="s">
        <v>228</v>
      </c>
      <c r="I384" s="1" t="s">
        <v>28</v>
      </c>
      <c r="J384" s="1" t="s">
        <v>31</v>
      </c>
      <c r="K384">
        <v>107</v>
      </c>
    </row>
    <row r="385" spans="1:11" x14ac:dyDescent="0.25">
      <c r="A385" s="18" t="str">
        <f xml:space="preserve">  MapNameLkup</f>
        <v>m_ofs_trex_ar_invoices</v>
      </c>
      <c r="B385" s="1" t="s">
        <v>96</v>
      </c>
      <c r="C385" s="1" t="s">
        <v>105</v>
      </c>
      <c r="D385" s="1" t="s">
        <v>1</v>
      </c>
      <c r="E385" s="1" t="s">
        <v>107</v>
      </c>
      <c r="F385">
        <v>1</v>
      </c>
      <c r="G385" s="1"/>
      <c r="H385" s="1" t="s">
        <v>229</v>
      </c>
      <c r="I385" s="1" t="s">
        <v>28</v>
      </c>
      <c r="J385" s="1" t="s">
        <v>31</v>
      </c>
      <c r="K385">
        <v>108</v>
      </c>
    </row>
    <row r="386" spans="1:11" x14ac:dyDescent="0.25">
      <c r="A386" s="18" t="str">
        <f xml:space="preserve">  MapNameLkup</f>
        <v>m_ofs_trex_ar_invoices</v>
      </c>
      <c r="B386" s="1" t="s">
        <v>96</v>
      </c>
      <c r="C386" s="1" t="s">
        <v>105</v>
      </c>
      <c r="D386" s="1" t="s">
        <v>1</v>
      </c>
      <c r="E386" s="1" t="s">
        <v>107</v>
      </c>
      <c r="F386">
        <v>1</v>
      </c>
      <c r="G386" s="1"/>
      <c r="H386" s="1" t="s">
        <v>230</v>
      </c>
      <c r="I386" s="1" t="s">
        <v>28</v>
      </c>
      <c r="J386" s="1" t="s">
        <v>31</v>
      </c>
      <c r="K386">
        <v>109</v>
      </c>
    </row>
    <row r="387" spans="1:11" x14ac:dyDescent="0.25">
      <c r="A387" s="18" t="str">
        <f xml:space="preserve">  MapNameLkup</f>
        <v>m_ofs_trex_ar_invoices</v>
      </c>
      <c r="B387" s="1" t="s">
        <v>96</v>
      </c>
      <c r="C387" s="1" t="s">
        <v>105</v>
      </c>
      <c r="D387" s="1" t="s">
        <v>1</v>
      </c>
      <c r="E387" s="1" t="s">
        <v>107</v>
      </c>
      <c r="F387">
        <v>1</v>
      </c>
      <c r="G387" s="1"/>
      <c r="H387" s="1" t="s">
        <v>231</v>
      </c>
      <c r="I387" s="1" t="s">
        <v>28</v>
      </c>
      <c r="J387" s="1" t="s">
        <v>31</v>
      </c>
      <c r="K387">
        <v>110</v>
      </c>
    </row>
    <row r="388" spans="1:11" x14ac:dyDescent="0.25">
      <c r="A388" s="18" t="str">
        <f xml:space="preserve">  MapNameLkup</f>
        <v>m_ofs_trex_ar_invoices</v>
      </c>
      <c r="B388" s="1" t="s">
        <v>96</v>
      </c>
      <c r="C388" s="1" t="s">
        <v>105</v>
      </c>
      <c r="D388" s="1" t="s">
        <v>1</v>
      </c>
      <c r="E388" s="1" t="s">
        <v>107</v>
      </c>
      <c r="F388">
        <v>1</v>
      </c>
      <c r="G388" s="1"/>
      <c r="H388" s="1" t="s">
        <v>232</v>
      </c>
      <c r="I388" s="1" t="s">
        <v>28</v>
      </c>
      <c r="J388" s="1" t="s">
        <v>31</v>
      </c>
      <c r="K388">
        <v>111</v>
      </c>
    </row>
    <row r="389" spans="1:11" x14ac:dyDescent="0.25">
      <c r="A389" s="18" t="str">
        <f xml:space="preserve">  MapNameLkup</f>
        <v>m_ofs_trex_ar_invoices</v>
      </c>
      <c r="B389" s="1" t="s">
        <v>96</v>
      </c>
      <c r="C389" s="1" t="s">
        <v>105</v>
      </c>
      <c r="D389" s="1" t="s">
        <v>1</v>
      </c>
      <c r="E389" s="1" t="s">
        <v>107</v>
      </c>
      <c r="F389">
        <v>1</v>
      </c>
      <c r="G389" s="1"/>
      <c r="H389" s="1" t="s">
        <v>233</v>
      </c>
      <c r="I389" s="1" t="s">
        <v>28</v>
      </c>
      <c r="J389" s="1" t="s">
        <v>31</v>
      </c>
      <c r="K389">
        <v>112</v>
      </c>
    </row>
    <row r="390" spans="1:11" x14ac:dyDescent="0.25">
      <c r="A390" s="18" t="str">
        <f xml:space="preserve">  MapNameLkup</f>
        <v>m_ofs_trex_ar_invoices</v>
      </c>
      <c r="B390" s="1" t="s">
        <v>96</v>
      </c>
      <c r="C390" s="1" t="s">
        <v>105</v>
      </c>
      <c r="D390" s="1" t="s">
        <v>1</v>
      </c>
      <c r="E390" s="1" t="s">
        <v>107</v>
      </c>
      <c r="F390">
        <v>1</v>
      </c>
      <c r="G390" s="1"/>
      <c r="H390" s="1" t="s">
        <v>234</v>
      </c>
      <c r="I390" s="1" t="s">
        <v>28</v>
      </c>
      <c r="J390" s="1" t="s">
        <v>31</v>
      </c>
      <c r="K390">
        <v>113</v>
      </c>
    </row>
    <row r="391" spans="1:11" x14ac:dyDescent="0.25">
      <c r="A391" s="18" t="str">
        <f xml:space="preserve">  MapNameLkup</f>
        <v>m_ofs_trex_ar_invoices</v>
      </c>
      <c r="B391" s="1" t="s">
        <v>96</v>
      </c>
      <c r="C391" s="1" t="s">
        <v>105</v>
      </c>
      <c r="D391" s="1" t="s">
        <v>1</v>
      </c>
      <c r="E391" s="1" t="s">
        <v>107</v>
      </c>
      <c r="F391">
        <v>1</v>
      </c>
      <c r="G391" s="1"/>
      <c r="H391" s="1" t="s">
        <v>235</v>
      </c>
      <c r="I391" s="1" t="s">
        <v>28</v>
      </c>
      <c r="J391" s="1" t="s">
        <v>31</v>
      </c>
      <c r="K391">
        <v>114</v>
      </c>
    </row>
    <row r="392" spans="1:11" x14ac:dyDescent="0.25">
      <c r="A392" s="18" t="str">
        <f xml:space="preserve">  MapNameLkup</f>
        <v>m_ofs_trex_ar_invoices</v>
      </c>
      <c r="B392" s="1" t="s">
        <v>96</v>
      </c>
      <c r="C392" s="1" t="s">
        <v>105</v>
      </c>
      <c r="D392" s="1" t="s">
        <v>1</v>
      </c>
      <c r="E392" s="1" t="s">
        <v>107</v>
      </c>
      <c r="F392">
        <v>1</v>
      </c>
      <c r="G392" s="1"/>
      <c r="H392" s="1" t="s">
        <v>236</v>
      </c>
      <c r="I392" s="1" t="s">
        <v>28</v>
      </c>
      <c r="J392" s="1" t="s">
        <v>31</v>
      </c>
      <c r="K392">
        <v>115</v>
      </c>
    </row>
    <row r="393" spans="1:11" x14ac:dyDescent="0.25">
      <c r="A393" s="18" t="str">
        <f xml:space="preserve">  MapNameLkup</f>
        <v>m_ofs_trex_ar_invoices</v>
      </c>
      <c r="B393" s="1" t="s">
        <v>96</v>
      </c>
      <c r="C393" s="1" t="s">
        <v>105</v>
      </c>
      <c r="D393" s="1" t="s">
        <v>1</v>
      </c>
      <c r="E393" s="1" t="s">
        <v>107</v>
      </c>
      <c r="F393">
        <v>1</v>
      </c>
      <c r="G393" s="1"/>
      <c r="H393" s="1" t="s">
        <v>237</v>
      </c>
      <c r="I393" s="1" t="s">
        <v>28</v>
      </c>
      <c r="J393" s="1" t="s">
        <v>31</v>
      </c>
      <c r="K393">
        <v>116</v>
      </c>
    </row>
    <row r="394" spans="1:11" x14ac:dyDescent="0.25">
      <c r="A394" s="18" t="str">
        <f xml:space="preserve">  MapNameLkup</f>
        <v>m_ofs_trex_ar_invoices</v>
      </c>
      <c r="B394" s="1" t="s">
        <v>96</v>
      </c>
      <c r="C394" s="1" t="s">
        <v>105</v>
      </c>
      <c r="D394" s="1" t="s">
        <v>1</v>
      </c>
      <c r="E394" s="1" t="s">
        <v>107</v>
      </c>
      <c r="F394">
        <v>1</v>
      </c>
      <c r="G394" s="1"/>
      <c r="H394" s="1" t="s">
        <v>238</v>
      </c>
      <c r="I394" s="1" t="s">
        <v>28</v>
      </c>
      <c r="J394" s="1" t="s">
        <v>31</v>
      </c>
      <c r="K394">
        <v>117</v>
      </c>
    </row>
    <row r="395" spans="1:11" x14ac:dyDescent="0.25">
      <c r="A395" s="18" t="str">
        <f xml:space="preserve">  MapNameLkup</f>
        <v>m_ofs_trex_ar_invoices</v>
      </c>
      <c r="B395" s="1" t="s">
        <v>96</v>
      </c>
      <c r="C395" s="1" t="s">
        <v>105</v>
      </c>
      <c r="D395" s="1" t="s">
        <v>1</v>
      </c>
      <c r="E395" s="1" t="s">
        <v>107</v>
      </c>
      <c r="F395">
        <v>1</v>
      </c>
      <c r="G395" s="1"/>
      <c r="H395" s="1" t="s">
        <v>239</v>
      </c>
      <c r="I395" s="1" t="s">
        <v>28</v>
      </c>
      <c r="J395" s="1" t="s">
        <v>31</v>
      </c>
      <c r="K395">
        <v>118</v>
      </c>
    </row>
    <row r="396" spans="1:11" x14ac:dyDescent="0.25">
      <c r="A396" s="18" t="str">
        <f xml:space="preserve">  MapNameLkup</f>
        <v>m_ofs_trex_ar_invoices</v>
      </c>
      <c r="B396" s="1" t="s">
        <v>96</v>
      </c>
      <c r="C396" s="1" t="s">
        <v>105</v>
      </c>
      <c r="D396" s="1" t="s">
        <v>1</v>
      </c>
      <c r="E396" s="1" t="s">
        <v>107</v>
      </c>
      <c r="F396">
        <v>1</v>
      </c>
      <c r="G396" s="1"/>
      <c r="H396" s="1" t="s">
        <v>387</v>
      </c>
      <c r="I396" s="1" t="s">
        <v>28</v>
      </c>
      <c r="J396" s="1" t="s">
        <v>31</v>
      </c>
      <c r="K396">
        <v>119</v>
      </c>
    </row>
    <row r="397" spans="1:11" x14ac:dyDescent="0.25">
      <c r="A397" s="18" t="str">
        <f xml:space="preserve">  MapNameLkup</f>
        <v>m_ofs_trex_ar_invoices</v>
      </c>
      <c r="B397" s="1" t="s">
        <v>96</v>
      </c>
      <c r="C397" s="1" t="s">
        <v>105</v>
      </c>
      <c r="D397" s="1" t="s">
        <v>1</v>
      </c>
      <c r="E397" s="1" t="s">
        <v>107</v>
      </c>
      <c r="F397">
        <v>1</v>
      </c>
      <c r="G397" s="1"/>
      <c r="H397" s="1" t="s">
        <v>388</v>
      </c>
      <c r="I397" s="1" t="s">
        <v>28</v>
      </c>
      <c r="J397" s="1" t="s">
        <v>31</v>
      </c>
      <c r="K397">
        <v>120</v>
      </c>
    </row>
    <row r="398" spans="1:11" x14ac:dyDescent="0.25">
      <c r="A398" s="18" t="str">
        <f xml:space="preserve">  MapNameLkup</f>
        <v>m_ofs_trex_ar_invoices</v>
      </c>
      <c r="B398" s="1" t="s">
        <v>96</v>
      </c>
      <c r="C398" s="1" t="s">
        <v>105</v>
      </c>
      <c r="D398" s="1" t="s">
        <v>1</v>
      </c>
      <c r="E398" s="1" t="s">
        <v>107</v>
      </c>
      <c r="F398">
        <v>1</v>
      </c>
      <c r="G398" s="1"/>
      <c r="H398" s="1" t="s">
        <v>389</v>
      </c>
      <c r="I398" s="1" t="s">
        <v>28</v>
      </c>
      <c r="J398" s="1" t="s">
        <v>31</v>
      </c>
      <c r="K398">
        <v>121</v>
      </c>
    </row>
    <row r="399" spans="1:11" x14ac:dyDescent="0.25">
      <c r="A399" s="18" t="str">
        <f xml:space="preserve">  MapNameLkup</f>
        <v>m_ofs_trex_ar_invoices</v>
      </c>
      <c r="B399" s="1" t="s">
        <v>96</v>
      </c>
      <c r="C399" s="1" t="s">
        <v>105</v>
      </c>
      <c r="D399" s="1" t="s">
        <v>1</v>
      </c>
      <c r="E399" s="1" t="s">
        <v>107</v>
      </c>
      <c r="F399">
        <v>1</v>
      </c>
      <c r="G399" s="1"/>
      <c r="H399" s="1" t="s">
        <v>390</v>
      </c>
      <c r="I399" s="1" t="s">
        <v>28</v>
      </c>
      <c r="J399" s="1" t="s">
        <v>31</v>
      </c>
      <c r="K399">
        <v>122</v>
      </c>
    </row>
    <row r="400" spans="1:11" x14ac:dyDescent="0.25">
      <c r="A400" s="18" t="str">
        <f xml:space="preserve">  MapNameLkup</f>
        <v>m_ofs_trex_ar_invoices</v>
      </c>
      <c r="B400" s="1" t="s">
        <v>96</v>
      </c>
      <c r="C400" s="1" t="s">
        <v>105</v>
      </c>
      <c r="D400" s="1" t="s">
        <v>1</v>
      </c>
      <c r="E400" s="1" t="s">
        <v>107</v>
      </c>
      <c r="F400">
        <v>1</v>
      </c>
      <c r="G400" s="1"/>
      <c r="H400" s="1" t="s">
        <v>391</v>
      </c>
      <c r="I400" s="1" t="s">
        <v>28</v>
      </c>
      <c r="J400" s="1" t="s">
        <v>31</v>
      </c>
      <c r="K400">
        <v>123</v>
      </c>
    </row>
    <row r="401" spans="1:11" x14ac:dyDescent="0.25">
      <c r="A401" s="18" t="str">
        <f xml:space="preserve">  MapNameLkup</f>
        <v>m_ofs_trex_ar_invoices</v>
      </c>
      <c r="B401" s="1" t="s">
        <v>96</v>
      </c>
      <c r="C401" s="1" t="s">
        <v>105</v>
      </c>
      <c r="D401" s="1" t="s">
        <v>1</v>
      </c>
      <c r="E401" s="1" t="s">
        <v>107</v>
      </c>
      <c r="F401">
        <v>1</v>
      </c>
      <c r="G401" s="1"/>
      <c r="H401" s="1" t="s">
        <v>392</v>
      </c>
      <c r="I401" s="1" t="s">
        <v>28</v>
      </c>
      <c r="J401" s="1" t="s">
        <v>31</v>
      </c>
      <c r="K401">
        <v>124</v>
      </c>
    </row>
    <row r="402" spans="1:11" x14ac:dyDescent="0.25">
      <c r="A402" s="18" t="str">
        <f xml:space="preserve">  MapNameLkup</f>
        <v>m_ofs_trex_ar_invoices</v>
      </c>
      <c r="B402" s="1" t="s">
        <v>96</v>
      </c>
      <c r="C402" s="1" t="s">
        <v>105</v>
      </c>
      <c r="D402" s="1" t="s">
        <v>1</v>
      </c>
      <c r="E402" s="1" t="s">
        <v>107</v>
      </c>
      <c r="F402">
        <v>1</v>
      </c>
      <c r="G402" s="1"/>
      <c r="H402" s="1" t="s">
        <v>393</v>
      </c>
      <c r="I402" s="1" t="s">
        <v>28</v>
      </c>
      <c r="J402" s="1" t="s">
        <v>31</v>
      </c>
      <c r="K402">
        <v>125</v>
      </c>
    </row>
    <row r="403" spans="1:11" x14ac:dyDescent="0.25">
      <c r="A403" s="18" t="str">
        <f xml:space="preserve">  MapNameLkup</f>
        <v>m_ofs_trex_ar_invoices</v>
      </c>
      <c r="B403" s="1" t="s">
        <v>96</v>
      </c>
      <c r="C403" s="1" t="s">
        <v>105</v>
      </c>
      <c r="D403" s="1" t="s">
        <v>1</v>
      </c>
      <c r="E403" s="1" t="s">
        <v>107</v>
      </c>
      <c r="F403">
        <v>1</v>
      </c>
      <c r="G403" s="1"/>
      <c r="H403" s="1" t="s">
        <v>394</v>
      </c>
      <c r="I403" s="1" t="s">
        <v>28</v>
      </c>
      <c r="J403" s="1" t="s">
        <v>31</v>
      </c>
      <c r="K403">
        <v>126</v>
      </c>
    </row>
    <row r="404" spans="1:11" x14ac:dyDescent="0.25">
      <c r="A404" s="18" t="str">
        <f xml:space="preserve">  MapNameLkup</f>
        <v>m_ofs_trex_ar_invoices</v>
      </c>
      <c r="B404" s="1" t="s">
        <v>96</v>
      </c>
      <c r="C404" s="1" t="s">
        <v>105</v>
      </c>
      <c r="D404" s="1" t="s">
        <v>1</v>
      </c>
      <c r="E404" s="1" t="s">
        <v>107</v>
      </c>
      <c r="F404">
        <v>1</v>
      </c>
      <c r="G404" s="1"/>
      <c r="H404" s="1" t="s">
        <v>395</v>
      </c>
      <c r="I404" s="1" t="s">
        <v>28</v>
      </c>
      <c r="J404" s="1" t="s">
        <v>31</v>
      </c>
      <c r="K404">
        <v>127</v>
      </c>
    </row>
    <row r="405" spans="1:11" x14ac:dyDescent="0.25">
      <c r="A405" s="18" t="str">
        <f xml:space="preserve">  MapNameLkup</f>
        <v>m_ofs_trex_ar_invoices</v>
      </c>
      <c r="B405" s="1" t="s">
        <v>96</v>
      </c>
      <c r="C405" s="1" t="s">
        <v>105</v>
      </c>
      <c r="D405" s="1" t="s">
        <v>1</v>
      </c>
      <c r="E405" s="1" t="s">
        <v>107</v>
      </c>
      <c r="F405">
        <v>1</v>
      </c>
      <c r="G405" s="1"/>
      <c r="H405" s="1" t="s">
        <v>396</v>
      </c>
      <c r="I405" s="1" t="s">
        <v>28</v>
      </c>
      <c r="J405" s="1" t="s">
        <v>31</v>
      </c>
      <c r="K405">
        <v>128</v>
      </c>
    </row>
    <row r="406" spans="1:11" x14ac:dyDescent="0.25">
      <c r="A406" s="18" t="str">
        <f xml:space="preserve">  MapNameLkup</f>
        <v>m_ofs_trex_ar_invoices</v>
      </c>
      <c r="B406" s="1" t="s">
        <v>96</v>
      </c>
      <c r="C406" s="1" t="s">
        <v>105</v>
      </c>
      <c r="D406" s="1" t="s">
        <v>1</v>
      </c>
      <c r="E406" s="1" t="s">
        <v>107</v>
      </c>
      <c r="F406">
        <v>1</v>
      </c>
      <c r="G406" s="1"/>
      <c r="H406" s="1" t="s">
        <v>397</v>
      </c>
      <c r="I406" s="1" t="s">
        <v>28</v>
      </c>
      <c r="J406" s="1" t="s">
        <v>31</v>
      </c>
      <c r="K406">
        <v>129</v>
      </c>
    </row>
    <row r="407" spans="1:11" x14ac:dyDescent="0.25">
      <c r="A407" s="18" t="str">
        <f xml:space="preserve">  MapNameLkup</f>
        <v>m_ofs_trex_ar_invoices</v>
      </c>
      <c r="B407" s="1" t="s">
        <v>96</v>
      </c>
      <c r="C407" s="1" t="s">
        <v>105</v>
      </c>
      <c r="D407" s="1" t="s">
        <v>1</v>
      </c>
      <c r="E407" s="1" t="s">
        <v>107</v>
      </c>
      <c r="F407">
        <v>1</v>
      </c>
      <c r="G407" s="1"/>
      <c r="H407" s="1" t="s">
        <v>398</v>
      </c>
      <c r="I407" s="1" t="s">
        <v>28</v>
      </c>
      <c r="J407" s="1" t="s">
        <v>31</v>
      </c>
      <c r="K407">
        <v>130</v>
      </c>
    </row>
    <row r="408" spans="1:11" x14ac:dyDescent="0.25">
      <c r="A408" s="18" t="str">
        <f xml:space="preserve">  MapNameLkup</f>
        <v>m_ofs_trex_ar_invoices</v>
      </c>
      <c r="B408" s="1" t="s">
        <v>96</v>
      </c>
      <c r="C408" s="1" t="s">
        <v>105</v>
      </c>
      <c r="D408" s="1" t="s">
        <v>1</v>
      </c>
      <c r="E408" s="1" t="s">
        <v>107</v>
      </c>
      <c r="F408">
        <v>1</v>
      </c>
      <c r="G408" s="1"/>
      <c r="H408" s="1" t="s">
        <v>399</v>
      </c>
      <c r="I408" s="1" t="s">
        <v>28</v>
      </c>
      <c r="J408" s="1" t="s">
        <v>31</v>
      </c>
      <c r="K408">
        <v>131</v>
      </c>
    </row>
    <row r="409" spans="1:11" x14ac:dyDescent="0.25">
      <c r="A409" s="18" t="str">
        <f xml:space="preserve">  MapNameLkup</f>
        <v>m_ofs_trex_ar_invoices</v>
      </c>
      <c r="B409" s="1" t="s">
        <v>96</v>
      </c>
      <c r="C409" s="1" t="s">
        <v>105</v>
      </c>
      <c r="D409" s="1" t="s">
        <v>1</v>
      </c>
      <c r="E409" s="1" t="s">
        <v>107</v>
      </c>
      <c r="F409">
        <v>1</v>
      </c>
      <c r="G409" s="1"/>
      <c r="H409" s="1" t="s">
        <v>400</v>
      </c>
      <c r="I409" s="1" t="s">
        <v>28</v>
      </c>
      <c r="J409" s="1" t="s">
        <v>31</v>
      </c>
      <c r="K409">
        <v>132</v>
      </c>
    </row>
    <row r="410" spans="1:11" x14ac:dyDescent="0.25">
      <c r="A410" s="18" t="str">
        <f xml:space="preserve">  MapNameLkup</f>
        <v>m_ofs_trex_ar_invoices</v>
      </c>
      <c r="B410" s="1" t="s">
        <v>96</v>
      </c>
      <c r="C410" s="1" t="s">
        <v>105</v>
      </c>
      <c r="D410" s="1" t="s">
        <v>1</v>
      </c>
      <c r="E410" s="1" t="s">
        <v>107</v>
      </c>
      <c r="F410">
        <v>1</v>
      </c>
      <c r="G410" s="1"/>
      <c r="H410" s="1" t="s">
        <v>401</v>
      </c>
      <c r="I410" s="1" t="s">
        <v>28</v>
      </c>
      <c r="J410" s="1" t="s">
        <v>31</v>
      </c>
      <c r="K410">
        <v>133</v>
      </c>
    </row>
    <row r="411" spans="1:11" x14ac:dyDescent="0.25">
      <c r="A411" s="18" t="str">
        <f xml:space="preserve">  MapNameLkup</f>
        <v>m_ofs_trex_ar_invoices</v>
      </c>
      <c r="B411" s="1" t="s">
        <v>96</v>
      </c>
      <c r="C411" s="1" t="s">
        <v>105</v>
      </c>
      <c r="D411" s="1" t="s">
        <v>1</v>
      </c>
      <c r="E411" s="1" t="s">
        <v>107</v>
      </c>
      <c r="F411">
        <v>1</v>
      </c>
      <c r="G411" s="1"/>
      <c r="H411" s="1" t="s">
        <v>402</v>
      </c>
      <c r="I411" s="1" t="s">
        <v>28</v>
      </c>
      <c r="J411" s="1" t="s">
        <v>31</v>
      </c>
      <c r="K411">
        <v>134</v>
      </c>
    </row>
    <row r="412" spans="1:11" x14ac:dyDescent="0.25">
      <c r="A412" s="18" t="str">
        <f xml:space="preserve">  MapNameLkup</f>
        <v>m_ofs_trex_ar_invoices</v>
      </c>
      <c r="B412" s="1" t="s">
        <v>97</v>
      </c>
      <c r="C412" s="1" t="s">
        <v>105</v>
      </c>
      <c r="D412" s="1" t="s">
        <v>1</v>
      </c>
      <c r="E412" s="1" t="s">
        <v>107</v>
      </c>
      <c r="F412">
        <v>1</v>
      </c>
      <c r="G412" s="1"/>
      <c r="H412" s="1" t="s">
        <v>403</v>
      </c>
      <c r="I412" s="1" t="s">
        <v>28</v>
      </c>
      <c r="J412" s="1" t="s">
        <v>32</v>
      </c>
      <c r="K412">
        <v>1</v>
      </c>
    </row>
    <row r="413" spans="1:11" x14ac:dyDescent="0.25">
      <c r="A413" s="18" t="str">
        <f xml:space="preserve">  MapNameLkup</f>
        <v>m_ofs_trex_ar_invoices</v>
      </c>
      <c r="B413" s="1" t="s">
        <v>97</v>
      </c>
      <c r="C413" s="1" t="s">
        <v>105</v>
      </c>
      <c r="D413" s="1" t="s">
        <v>1</v>
      </c>
      <c r="E413" s="1" t="s">
        <v>107</v>
      </c>
      <c r="F413">
        <v>1</v>
      </c>
      <c r="G413" s="1"/>
      <c r="H413" s="1" t="s">
        <v>155</v>
      </c>
      <c r="I413" s="1" t="s">
        <v>28</v>
      </c>
      <c r="J413" s="1" t="s">
        <v>32</v>
      </c>
      <c r="K413">
        <v>2</v>
      </c>
    </row>
    <row r="414" spans="1:11" x14ac:dyDescent="0.25">
      <c r="A414" s="18" t="str">
        <f xml:space="preserve">  MapNameLkup</f>
        <v>m_ofs_trex_ar_invoices</v>
      </c>
      <c r="B414" s="1" t="s">
        <v>97</v>
      </c>
      <c r="C414" s="1" t="s">
        <v>105</v>
      </c>
      <c r="D414" s="1" t="s">
        <v>1</v>
      </c>
      <c r="E414" s="1" t="s">
        <v>107</v>
      </c>
      <c r="F414">
        <v>1</v>
      </c>
      <c r="G414" s="1"/>
      <c r="H414" s="1" t="s">
        <v>154</v>
      </c>
      <c r="I414" s="1" t="s">
        <v>28</v>
      </c>
      <c r="J414" s="1" t="s">
        <v>32</v>
      </c>
      <c r="K414">
        <v>3</v>
      </c>
    </row>
    <row r="415" spans="1:11" x14ac:dyDescent="0.25">
      <c r="A415" s="18" t="str">
        <f xml:space="preserve">  MapNameLkup</f>
        <v>m_ofs_trex_ar_invoices</v>
      </c>
      <c r="B415" s="1" t="s">
        <v>97</v>
      </c>
      <c r="C415" s="1" t="s">
        <v>105</v>
      </c>
      <c r="D415" s="1" t="s">
        <v>1</v>
      </c>
      <c r="E415" s="1" t="s">
        <v>107</v>
      </c>
      <c r="F415">
        <v>1</v>
      </c>
      <c r="G415" s="1"/>
      <c r="H415" s="1" t="s">
        <v>157</v>
      </c>
      <c r="I415" s="1" t="s">
        <v>28</v>
      </c>
      <c r="J415" s="1" t="s">
        <v>32</v>
      </c>
      <c r="K415">
        <v>4</v>
      </c>
    </row>
    <row r="416" spans="1:11" x14ac:dyDescent="0.25">
      <c r="A416" s="18" t="str">
        <f xml:space="preserve">  MapNameLkup</f>
        <v>m_ofs_trex_ar_invoices</v>
      </c>
      <c r="B416" s="1" t="s">
        <v>97</v>
      </c>
      <c r="C416" s="1" t="s">
        <v>105</v>
      </c>
      <c r="D416" s="1" t="s">
        <v>1</v>
      </c>
      <c r="E416" s="1" t="s">
        <v>107</v>
      </c>
      <c r="F416">
        <v>1</v>
      </c>
      <c r="G416" s="1"/>
      <c r="H416" s="1" t="s">
        <v>156</v>
      </c>
      <c r="I416" s="1" t="s">
        <v>28</v>
      </c>
      <c r="J416" s="1" t="s">
        <v>32</v>
      </c>
      <c r="K416">
        <v>5</v>
      </c>
    </row>
    <row r="417" spans="1:11" x14ac:dyDescent="0.25">
      <c r="A417" s="18" t="str">
        <f xml:space="preserve">  MapNameLkup</f>
        <v>m_ofs_trex_ar_invoices</v>
      </c>
      <c r="B417" s="1" t="s">
        <v>97</v>
      </c>
      <c r="C417" s="1" t="s">
        <v>105</v>
      </c>
      <c r="D417" s="1" t="s">
        <v>1</v>
      </c>
      <c r="E417" s="1" t="s">
        <v>107</v>
      </c>
      <c r="F417">
        <v>1</v>
      </c>
      <c r="G417" s="1"/>
      <c r="H417" s="1" t="s">
        <v>335</v>
      </c>
      <c r="I417" s="1" t="s">
        <v>28</v>
      </c>
      <c r="J417" s="1" t="s">
        <v>32</v>
      </c>
      <c r="K417">
        <v>6</v>
      </c>
    </row>
    <row r="418" spans="1:11" x14ac:dyDescent="0.25">
      <c r="A418" s="18" t="str">
        <f xml:space="preserve">  MapNameLkup</f>
        <v>m_ofs_trex_ar_invoices</v>
      </c>
      <c r="B418" s="1" t="s">
        <v>97</v>
      </c>
      <c r="C418" s="1" t="s">
        <v>105</v>
      </c>
      <c r="D418" s="1" t="s">
        <v>1</v>
      </c>
      <c r="E418" s="1" t="s">
        <v>107</v>
      </c>
      <c r="F418">
        <v>1</v>
      </c>
      <c r="G418" s="1"/>
      <c r="H418" s="1" t="s">
        <v>376</v>
      </c>
      <c r="I418" s="1" t="s">
        <v>28</v>
      </c>
      <c r="J418" s="1" t="s">
        <v>32</v>
      </c>
      <c r="K418">
        <v>7</v>
      </c>
    </row>
    <row r="419" spans="1:11" x14ac:dyDescent="0.25">
      <c r="A419" s="18" t="str">
        <f xml:space="preserve">  MapNameLkup</f>
        <v>m_ofs_trex_ar_invoices</v>
      </c>
      <c r="B419" s="1" t="s">
        <v>97</v>
      </c>
      <c r="C419" s="1" t="s">
        <v>105</v>
      </c>
      <c r="D419" s="1" t="s">
        <v>1</v>
      </c>
      <c r="E419" s="1" t="s">
        <v>107</v>
      </c>
      <c r="F419">
        <v>1</v>
      </c>
      <c r="G419" s="1"/>
      <c r="H419" s="1" t="s">
        <v>404</v>
      </c>
      <c r="I419" s="1" t="s">
        <v>28</v>
      </c>
      <c r="J419" s="1" t="s">
        <v>32</v>
      </c>
      <c r="K419">
        <v>8</v>
      </c>
    </row>
    <row r="420" spans="1:11" x14ac:dyDescent="0.25">
      <c r="A420" s="18" t="str">
        <f xml:space="preserve">  MapNameLkup</f>
        <v>m_ofs_trex_ar_invoices</v>
      </c>
      <c r="B420" s="1" t="s">
        <v>97</v>
      </c>
      <c r="C420" s="1" t="s">
        <v>105</v>
      </c>
      <c r="D420" s="1" t="s">
        <v>1</v>
      </c>
      <c r="E420" s="1" t="s">
        <v>107</v>
      </c>
      <c r="F420">
        <v>1</v>
      </c>
      <c r="G420" s="1"/>
      <c r="H420" s="1" t="s">
        <v>405</v>
      </c>
      <c r="I420" s="1" t="s">
        <v>28</v>
      </c>
      <c r="J420" s="1" t="s">
        <v>32</v>
      </c>
      <c r="K420">
        <v>9</v>
      </c>
    </row>
    <row r="421" spans="1:11" x14ac:dyDescent="0.25">
      <c r="A421" s="18" t="str">
        <f xml:space="preserve">  MapNameLkup</f>
        <v>m_ofs_trex_ar_invoices</v>
      </c>
      <c r="B421" s="1" t="s">
        <v>97</v>
      </c>
      <c r="C421" s="1" t="s">
        <v>105</v>
      </c>
      <c r="D421" s="1" t="s">
        <v>1</v>
      </c>
      <c r="E421" s="1" t="s">
        <v>107</v>
      </c>
      <c r="F421">
        <v>1</v>
      </c>
      <c r="G421" s="1"/>
      <c r="H421" s="1" t="s">
        <v>406</v>
      </c>
      <c r="I421" s="1" t="s">
        <v>28</v>
      </c>
      <c r="J421" s="1" t="s">
        <v>32</v>
      </c>
      <c r="K421">
        <v>10</v>
      </c>
    </row>
    <row r="422" spans="1:11" x14ac:dyDescent="0.25">
      <c r="A422" s="18" t="str">
        <f xml:space="preserve">  MapNameLkup</f>
        <v>m_ofs_trex_ar_invoices</v>
      </c>
      <c r="B422" s="1" t="s">
        <v>97</v>
      </c>
      <c r="C422" s="1" t="s">
        <v>105</v>
      </c>
      <c r="D422" s="1" t="s">
        <v>1</v>
      </c>
      <c r="E422" s="1" t="s">
        <v>107</v>
      </c>
      <c r="F422">
        <v>1</v>
      </c>
      <c r="G422" s="1"/>
      <c r="H422" s="1" t="s">
        <v>407</v>
      </c>
      <c r="I422" s="1" t="s">
        <v>28</v>
      </c>
      <c r="J422" s="1" t="s">
        <v>32</v>
      </c>
      <c r="K422">
        <v>11</v>
      </c>
    </row>
    <row r="423" spans="1:11" x14ac:dyDescent="0.25">
      <c r="A423" s="18" t="str">
        <f xml:space="preserve">  MapNameLkup</f>
        <v>m_ofs_trex_ar_invoices</v>
      </c>
      <c r="B423" s="1" t="s">
        <v>97</v>
      </c>
      <c r="C423" s="1" t="s">
        <v>105</v>
      </c>
      <c r="D423" s="1" t="s">
        <v>1</v>
      </c>
      <c r="E423" s="1" t="s">
        <v>107</v>
      </c>
      <c r="F423">
        <v>1</v>
      </c>
      <c r="G423" s="1"/>
      <c r="H423" s="1" t="s">
        <v>408</v>
      </c>
      <c r="I423" s="1" t="s">
        <v>28</v>
      </c>
      <c r="J423" s="1" t="s">
        <v>32</v>
      </c>
      <c r="K423">
        <v>12</v>
      </c>
    </row>
    <row r="424" spans="1:11" x14ac:dyDescent="0.25">
      <c r="A424" s="18" t="str">
        <f xml:space="preserve">  MapNameLkup</f>
        <v>m_ofs_trex_ar_invoices</v>
      </c>
      <c r="B424" s="1" t="s">
        <v>97</v>
      </c>
      <c r="C424" s="1" t="s">
        <v>105</v>
      </c>
      <c r="D424" s="1" t="s">
        <v>1</v>
      </c>
      <c r="E424" s="1" t="s">
        <v>107</v>
      </c>
      <c r="F424">
        <v>1</v>
      </c>
      <c r="G424" s="1"/>
      <c r="H424" s="1" t="s">
        <v>160</v>
      </c>
      <c r="I424" s="1" t="s">
        <v>28</v>
      </c>
      <c r="J424" s="1" t="s">
        <v>32</v>
      </c>
      <c r="K424">
        <v>13</v>
      </c>
    </row>
    <row r="425" spans="1:11" x14ac:dyDescent="0.25">
      <c r="A425" s="18" t="str">
        <f xml:space="preserve">  MapNameLkup</f>
        <v>m_ofs_trex_ar_invoices</v>
      </c>
      <c r="B425" s="1" t="s">
        <v>97</v>
      </c>
      <c r="C425" s="1" t="s">
        <v>105</v>
      </c>
      <c r="D425" s="1" t="s">
        <v>1</v>
      </c>
      <c r="E425" s="1" t="s">
        <v>107</v>
      </c>
      <c r="F425">
        <v>1</v>
      </c>
      <c r="G425" s="1"/>
      <c r="H425" s="1" t="s">
        <v>314</v>
      </c>
      <c r="I425" s="1" t="s">
        <v>28</v>
      </c>
      <c r="J425" s="1" t="s">
        <v>32</v>
      </c>
      <c r="K425">
        <v>14</v>
      </c>
    </row>
    <row r="426" spans="1:11" x14ac:dyDescent="0.25">
      <c r="A426" s="18" t="str">
        <f xml:space="preserve">  MapNameLkup</f>
        <v>m_ofs_trex_ar_invoices</v>
      </c>
      <c r="B426" s="1" t="s">
        <v>97</v>
      </c>
      <c r="C426" s="1" t="s">
        <v>105</v>
      </c>
      <c r="D426" s="1" t="s">
        <v>1</v>
      </c>
      <c r="E426" s="1" t="s">
        <v>107</v>
      </c>
      <c r="F426">
        <v>1</v>
      </c>
      <c r="G426" s="1"/>
      <c r="H426" s="1" t="s">
        <v>158</v>
      </c>
      <c r="I426" s="1" t="s">
        <v>28</v>
      </c>
      <c r="J426" s="1" t="s">
        <v>31</v>
      </c>
      <c r="K426">
        <v>15</v>
      </c>
    </row>
    <row r="427" spans="1:11" x14ac:dyDescent="0.25">
      <c r="A427" s="18" t="str">
        <f xml:space="preserve">  MapNameLkup</f>
        <v>m_ofs_trex_ar_invoices</v>
      </c>
      <c r="B427" s="1" t="s">
        <v>97</v>
      </c>
      <c r="C427" s="1" t="s">
        <v>105</v>
      </c>
      <c r="D427" s="1" t="s">
        <v>1</v>
      </c>
      <c r="E427" s="1" t="s">
        <v>107</v>
      </c>
      <c r="F427">
        <v>1</v>
      </c>
      <c r="G427" s="1"/>
      <c r="H427" s="1" t="s">
        <v>327</v>
      </c>
      <c r="I427" s="1" t="s">
        <v>28</v>
      </c>
      <c r="J427" s="1" t="s">
        <v>31</v>
      </c>
      <c r="K427">
        <v>16</v>
      </c>
    </row>
    <row r="428" spans="1:11" x14ac:dyDescent="0.25">
      <c r="A428" s="18" t="str">
        <f xml:space="preserve">  MapNameLkup</f>
        <v>m_ofs_trex_ar_invoices</v>
      </c>
      <c r="B428" s="1" t="s">
        <v>97</v>
      </c>
      <c r="C428" s="1" t="s">
        <v>105</v>
      </c>
      <c r="D428" s="1" t="s">
        <v>1</v>
      </c>
      <c r="E428" s="1" t="s">
        <v>107</v>
      </c>
      <c r="F428">
        <v>1</v>
      </c>
      <c r="G428" s="1"/>
      <c r="H428" s="1" t="s">
        <v>409</v>
      </c>
      <c r="I428" s="1" t="s">
        <v>28</v>
      </c>
      <c r="J428" s="1" t="s">
        <v>31</v>
      </c>
      <c r="K428">
        <v>17</v>
      </c>
    </row>
    <row r="429" spans="1:11" x14ac:dyDescent="0.25">
      <c r="A429" s="18" t="str">
        <f xml:space="preserve">  MapNameLkup</f>
        <v>m_ofs_trex_ar_invoices</v>
      </c>
      <c r="B429" s="1" t="s">
        <v>97</v>
      </c>
      <c r="C429" s="1" t="s">
        <v>105</v>
      </c>
      <c r="D429" s="1" t="s">
        <v>1</v>
      </c>
      <c r="E429" s="1" t="s">
        <v>107</v>
      </c>
      <c r="F429">
        <v>1</v>
      </c>
      <c r="G429" s="1"/>
      <c r="H429" s="1" t="s">
        <v>410</v>
      </c>
      <c r="I429" s="1" t="s">
        <v>28</v>
      </c>
      <c r="J429" s="1" t="s">
        <v>31</v>
      </c>
      <c r="K429">
        <v>18</v>
      </c>
    </row>
    <row r="430" spans="1:11" x14ac:dyDescent="0.25">
      <c r="A430" s="18" t="str">
        <f xml:space="preserve">  MapNameLkup</f>
        <v>m_ofs_trex_ar_invoices</v>
      </c>
      <c r="B430" s="1" t="s">
        <v>97</v>
      </c>
      <c r="C430" s="1" t="s">
        <v>105</v>
      </c>
      <c r="D430" s="1" t="s">
        <v>1</v>
      </c>
      <c r="E430" s="1" t="s">
        <v>107</v>
      </c>
      <c r="F430">
        <v>1</v>
      </c>
      <c r="G430" s="1"/>
      <c r="H430" s="1" t="s">
        <v>411</v>
      </c>
      <c r="I430" s="1" t="s">
        <v>28</v>
      </c>
      <c r="J430" s="1" t="s">
        <v>31</v>
      </c>
      <c r="K430">
        <v>19</v>
      </c>
    </row>
    <row r="431" spans="1:11" x14ac:dyDescent="0.25">
      <c r="A431" s="18" t="str">
        <f xml:space="preserve">  MapNameLkup</f>
        <v>m_ofs_trex_ar_invoices</v>
      </c>
      <c r="B431" s="1" t="s">
        <v>97</v>
      </c>
      <c r="C431" s="1" t="s">
        <v>105</v>
      </c>
      <c r="D431" s="1" t="s">
        <v>1</v>
      </c>
      <c r="E431" s="1" t="s">
        <v>107</v>
      </c>
      <c r="F431">
        <v>1</v>
      </c>
      <c r="G431" s="1"/>
      <c r="H431" s="1" t="s">
        <v>326</v>
      </c>
      <c r="I431" s="1" t="s">
        <v>28</v>
      </c>
      <c r="J431" s="1" t="s">
        <v>31</v>
      </c>
      <c r="K431">
        <v>20</v>
      </c>
    </row>
    <row r="432" spans="1:11" x14ac:dyDescent="0.25">
      <c r="A432" s="18" t="str">
        <f xml:space="preserve">  MapNameLkup</f>
        <v>m_ofs_trex_ar_invoices</v>
      </c>
      <c r="B432" s="1" t="s">
        <v>97</v>
      </c>
      <c r="C432" s="1" t="s">
        <v>105</v>
      </c>
      <c r="D432" s="1" t="s">
        <v>1</v>
      </c>
      <c r="E432" s="1" t="s">
        <v>107</v>
      </c>
      <c r="F432">
        <v>1</v>
      </c>
      <c r="G432" s="1"/>
      <c r="H432" s="1" t="s">
        <v>412</v>
      </c>
      <c r="I432" s="1" t="s">
        <v>28</v>
      </c>
      <c r="J432" s="1" t="s">
        <v>31</v>
      </c>
      <c r="K432">
        <v>21</v>
      </c>
    </row>
    <row r="433" spans="1:11" x14ac:dyDescent="0.25">
      <c r="A433" s="18" t="str">
        <f xml:space="preserve">  MapNameLkup</f>
        <v>m_ofs_trex_ar_invoices</v>
      </c>
      <c r="B433" s="1" t="s">
        <v>97</v>
      </c>
      <c r="C433" s="1" t="s">
        <v>105</v>
      </c>
      <c r="D433" s="1" t="s">
        <v>1</v>
      </c>
      <c r="E433" s="1" t="s">
        <v>107</v>
      </c>
      <c r="F433">
        <v>1</v>
      </c>
      <c r="G433" s="1"/>
      <c r="H433" s="1" t="s">
        <v>413</v>
      </c>
      <c r="I433" s="1" t="s">
        <v>28</v>
      </c>
      <c r="J433" s="1" t="s">
        <v>31</v>
      </c>
      <c r="K433">
        <v>22</v>
      </c>
    </row>
    <row r="434" spans="1:11" x14ac:dyDescent="0.25">
      <c r="A434" s="18" t="str">
        <f xml:space="preserve">  MapNameLkup</f>
        <v>m_ofs_trex_ar_invoices</v>
      </c>
      <c r="B434" s="1" t="s">
        <v>97</v>
      </c>
      <c r="C434" s="1" t="s">
        <v>105</v>
      </c>
      <c r="D434" s="1" t="s">
        <v>1</v>
      </c>
      <c r="E434" s="1" t="s">
        <v>107</v>
      </c>
      <c r="F434">
        <v>1</v>
      </c>
      <c r="G434" s="1"/>
      <c r="H434" s="1" t="s">
        <v>414</v>
      </c>
      <c r="I434" s="1" t="s">
        <v>28</v>
      </c>
      <c r="J434" s="1" t="s">
        <v>31</v>
      </c>
      <c r="K434">
        <v>23</v>
      </c>
    </row>
    <row r="435" spans="1:11" x14ac:dyDescent="0.25">
      <c r="A435" s="18" t="str">
        <f xml:space="preserve">  MapNameLkup</f>
        <v>m_ofs_trex_ar_invoices</v>
      </c>
      <c r="B435" s="1" t="s">
        <v>97</v>
      </c>
      <c r="C435" s="1" t="s">
        <v>105</v>
      </c>
      <c r="D435" s="1" t="s">
        <v>1</v>
      </c>
      <c r="E435" s="1" t="s">
        <v>107</v>
      </c>
      <c r="F435">
        <v>1</v>
      </c>
      <c r="G435" s="1"/>
      <c r="H435" s="1" t="s">
        <v>415</v>
      </c>
      <c r="I435" s="1" t="s">
        <v>28</v>
      </c>
      <c r="J435" s="1" t="s">
        <v>31</v>
      </c>
      <c r="K435">
        <v>24</v>
      </c>
    </row>
    <row r="436" spans="1:11" x14ac:dyDescent="0.25">
      <c r="A436" s="18" t="str">
        <f xml:space="preserve">  MapNameLkup</f>
        <v>m_ofs_trex_ar_invoices</v>
      </c>
      <c r="B436" s="1" t="s">
        <v>97</v>
      </c>
      <c r="C436" s="1" t="s">
        <v>105</v>
      </c>
      <c r="D436" s="1" t="s">
        <v>1</v>
      </c>
      <c r="E436" s="1" t="s">
        <v>107</v>
      </c>
      <c r="F436">
        <v>1</v>
      </c>
      <c r="G436" s="1"/>
      <c r="H436" s="1" t="s">
        <v>416</v>
      </c>
      <c r="I436" s="1" t="s">
        <v>28</v>
      </c>
      <c r="J436" s="1" t="s">
        <v>31</v>
      </c>
      <c r="K436">
        <v>25</v>
      </c>
    </row>
    <row r="437" spans="1:11" x14ac:dyDescent="0.25">
      <c r="A437" s="18" t="str">
        <f xml:space="preserve">  MapNameLkup</f>
        <v>m_ofs_trex_ar_invoices</v>
      </c>
      <c r="B437" s="1" t="s">
        <v>97</v>
      </c>
      <c r="C437" s="1" t="s">
        <v>105</v>
      </c>
      <c r="D437" s="1" t="s">
        <v>1</v>
      </c>
      <c r="E437" s="1" t="s">
        <v>107</v>
      </c>
      <c r="F437">
        <v>1</v>
      </c>
      <c r="G437" s="1"/>
      <c r="H437" s="1" t="s">
        <v>417</v>
      </c>
      <c r="I437" s="1" t="s">
        <v>28</v>
      </c>
      <c r="J437" s="1" t="s">
        <v>31</v>
      </c>
      <c r="K437">
        <v>26</v>
      </c>
    </row>
    <row r="438" spans="1:11" x14ac:dyDescent="0.25">
      <c r="A438" s="18" t="str">
        <f xml:space="preserve">  MapNameLkup</f>
        <v>m_ofs_trex_ar_invoices</v>
      </c>
      <c r="B438" s="1" t="s">
        <v>97</v>
      </c>
      <c r="C438" s="1" t="s">
        <v>105</v>
      </c>
      <c r="D438" s="1" t="s">
        <v>1</v>
      </c>
      <c r="E438" s="1" t="s">
        <v>107</v>
      </c>
      <c r="F438">
        <v>1</v>
      </c>
      <c r="G438" s="1"/>
      <c r="H438" s="1" t="s">
        <v>418</v>
      </c>
      <c r="I438" s="1" t="s">
        <v>28</v>
      </c>
      <c r="J438" s="1" t="s">
        <v>31</v>
      </c>
      <c r="K438">
        <v>27</v>
      </c>
    </row>
    <row r="439" spans="1:11" x14ac:dyDescent="0.25">
      <c r="A439" s="18" t="str">
        <f xml:space="preserve">  MapNameLkup</f>
        <v>m_ofs_trex_ar_invoices</v>
      </c>
      <c r="B439" s="1" t="s">
        <v>97</v>
      </c>
      <c r="C439" s="1" t="s">
        <v>105</v>
      </c>
      <c r="D439" s="1" t="s">
        <v>1</v>
      </c>
      <c r="E439" s="1" t="s">
        <v>107</v>
      </c>
      <c r="F439">
        <v>1</v>
      </c>
      <c r="G439" s="1"/>
      <c r="H439" s="1" t="s">
        <v>419</v>
      </c>
      <c r="I439" s="1" t="s">
        <v>28</v>
      </c>
      <c r="J439" s="1" t="s">
        <v>31</v>
      </c>
      <c r="K439">
        <v>28</v>
      </c>
    </row>
    <row r="440" spans="1:11" x14ac:dyDescent="0.25">
      <c r="A440" s="18" t="str">
        <f xml:space="preserve">  MapNameLkup</f>
        <v>m_ofs_trex_ar_invoices</v>
      </c>
      <c r="B440" s="1" t="s">
        <v>97</v>
      </c>
      <c r="C440" s="1" t="s">
        <v>105</v>
      </c>
      <c r="D440" s="1" t="s">
        <v>1</v>
      </c>
      <c r="E440" s="1" t="s">
        <v>107</v>
      </c>
      <c r="F440">
        <v>1</v>
      </c>
      <c r="G440" s="1"/>
      <c r="H440" s="1" t="s">
        <v>420</v>
      </c>
      <c r="I440" s="1" t="s">
        <v>28</v>
      </c>
      <c r="J440" s="1" t="s">
        <v>31</v>
      </c>
      <c r="K440">
        <v>29</v>
      </c>
    </row>
    <row r="441" spans="1:11" x14ac:dyDescent="0.25">
      <c r="A441" s="18" t="str">
        <f xml:space="preserve">  MapNameLkup</f>
        <v>m_ofs_trex_ar_invoices</v>
      </c>
      <c r="B441" s="1" t="s">
        <v>97</v>
      </c>
      <c r="C441" s="1" t="s">
        <v>105</v>
      </c>
      <c r="D441" s="1" t="s">
        <v>1</v>
      </c>
      <c r="E441" s="1" t="s">
        <v>107</v>
      </c>
      <c r="F441">
        <v>1</v>
      </c>
      <c r="G441" s="1"/>
      <c r="H441" s="1" t="s">
        <v>421</v>
      </c>
      <c r="I441" s="1" t="s">
        <v>28</v>
      </c>
      <c r="J441" s="1" t="s">
        <v>32</v>
      </c>
      <c r="K441">
        <v>30</v>
      </c>
    </row>
    <row r="442" spans="1:11" x14ac:dyDescent="0.25">
      <c r="A442" s="18" t="str">
        <f xml:space="preserve">  MapNameLkup</f>
        <v>m_ofs_trex_ar_invoices</v>
      </c>
      <c r="B442" s="1" t="s">
        <v>97</v>
      </c>
      <c r="C442" s="1" t="s">
        <v>105</v>
      </c>
      <c r="D442" s="1" t="s">
        <v>1</v>
      </c>
      <c r="E442" s="1" t="s">
        <v>107</v>
      </c>
      <c r="F442">
        <v>1</v>
      </c>
      <c r="G442" s="1"/>
      <c r="H442" s="1" t="s">
        <v>422</v>
      </c>
      <c r="I442" s="1" t="s">
        <v>28</v>
      </c>
      <c r="J442" s="1" t="s">
        <v>31</v>
      </c>
      <c r="K442">
        <v>31</v>
      </c>
    </row>
    <row r="443" spans="1:11" x14ac:dyDescent="0.25">
      <c r="A443" s="18" t="str">
        <f xml:space="preserve">  MapNameLkup</f>
        <v>m_ofs_trex_ar_invoices</v>
      </c>
      <c r="B443" s="1" t="s">
        <v>97</v>
      </c>
      <c r="C443" s="1" t="s">
        <v>105</v>
      </c>
      <c r="D443" s="1" t="s">
        <v>1</v>
      </c>
      <c r="E443" s="1" t="s">
        <v>107</v>
      </c>
      <c r="F443">
        <v>1</v>
      </c>
      <c r="G443" s="1"/>
      <c r="H443" s="1" t="s">
        <v>423</v>
      </c>
      <c r="I443" s="1" t="s">
        <v>28</v>
      </c>
      <c r="J443" s="1" t="s">
        <v>31</v>
      </c>
      <c r="K443">
        <v>32</v>
      </c>
    </row>
    <row r="444" spans="1:11" x14ac:dyDescent="0.25">
      <c r="A444" s="18" t="str">
        <f xml:space="preserve">  MapNameLkup</f>
        <v>m_ofs_trex_ar_invoices</v>
      </c>
      <c r="B444" s="1" t="s">
        <v>97</v>
      </c>
      <c r="C444" s="1" t="s">
        <v>105</v>
      </c>
      <c r="D444" s="1" t="s">
        <v>1</v>
      </c>
      <c r="E444" s="1" t="s">
        <v>107</v>
      </c>
      <c r="F444">
        <v>1</v>
      </c>
      <c r="G444" s="1"/>
      <c r="H444" s="1" t="s">
        <v>163</v>
      </c>
      <c r="I444" s="1" t="s">
        <v>28</v>
      </c>
      <c r="J444" s="1" t="s">
        <v>31</v>
      </c>
      <c r="K444">
        <v>33</v>
      </c>
    </row>
    <row r="445" spans="1:11" x14ac:dyDescent="0.25">
      <c r="A445" s="18" t="str">
        <f xml:space="preserve">  MapNameLkup</f>
        <v>m_ofs_trex_ar_invoices</v>
      </c>
      <c r="B445" s="1" t="s">
        <v>97</v>
      </c>
      <c r="C445" s="1" t="s">
        <v>105</v>
      </c>
      <c r="D445" s="1" t="s">
        <v>1</v>
      </c>
      <c r="E445" s="1" t="s">
        <v>107</v>
      </c>
      <c r="F445">
        <v>1</v>
      </c>
      <c r="G445" s="1"/>
      <c r="H445" s="1" t="s">
        <v>164</v>
      </c>
      <c r="I445" s="1" t="s">
        <v>28</v>
      </c>
      <c r="J445" s="1" t="s">
        <v>31</v>
      </c>
      <c r="K445">
        <v>34</v>
      </c>
    </row>
    <row r="446" spans="1:11" x14ac:dyDescent="0.25">
      <c r="A446" s="18" t="str">
        <f xml:space="preserve">  MapNameLkup</f>
        <v>m_ofs_trex_ar_invoices</v>
      </c>
      <c r="B446" s="1" t="s">
        <v>97</v>
      </c>
      <c r="C446" s="1" t="s">
        <v>105</v>
      </c>
      <c r="D446" s="1" t="s">
        <v>1</v>
      </c>
      <c r="E446" s="1" t="s">
        <v>107</v>
      </c>
      <c r="F446">
        <v>1</v>
      </c>
      <c r="G446" s="1"/>
      <c r="H446" s="1" t="s">
        <v>165</v>
      </c>
      <c r="I446" s="1" t="s">
        <v>28</v>
      </c>
      <c r="J446" s="1" t="s">
        <v>31</v>
      </c>
      <c r="K446">
        <v>35</v>
      </c>
    </row>
    <row r="447" spans="1:11" x14ac:dyDescent="0.25">
      <c r="A447" s="18" t="str">
        <f xml:space="preserve">  MapNameLkup</f>
        <v>m_ofs_trex_ar_invoices</v>
      </c>
      <c r="B447" s="1" t="s">
        <v>97</v>
      </c>
      <c r="C447" s="1" t="s">
        <v>105</v>
      </c>
      <c r="D447" s="1" t="s">
        <v>1</v>
      </c>
      <c r="E447" s="1" t="s">
        <v>107</v>
      </c>
      <c r="F447">
        <v>1</v>
      </c>
      <c r="G447" s="1"/>
      <c r="H447" s="1" t="s">
        <v>166</v>
      </c>
      <c r="I447" s="1" t="s">
        <v>28</v>
      </c>
      <c r="J447" s="1" t="s">
        <v>31</v>
      </c>
      <c r="K447">
        <v>36</v>
      </c>
    </row>
    <row r="448" spans="1:11" x14ac:dyDescent="0.25">
      <c r="A448" s="18" t="str">
        <f xml:space="preserve">  MapNameLkup</f>
        <v>m_ofs_trex_ar_invoices</v>
      </c>
      <c r="B448" s="1" t="s">
        <v>97</v>
      </c>
      <c r="C448" s="1" t="s">
        <v>105</v>
      </c>
      <c r="D448" s="1" t="s">
        <v>1</v>
      </c>
      <c r="E448" s="1" t="s">
        <v>107</v>
      </c>
      <c r="F448">
        <v>1</v>
      </c>
      <c r="G448" s="1"/>
      <c r="H448" s="1" t="s">
        <v>167</v>
      </c>
      <c r="I448" s="1" t="s">
        <v>28</v>
      </c>
      <c r="J448" s="1" t="s">
        <v>31</v>
      </c>
      <c r="K448">
        <v>37</v>
      </c>
    </row>
    <row r="449" spans="1:11" x14ac:dyDescent="0.25">
      <c r="A449" s="18" t="str">
        <f xml:space="preserve">  MapNameLkup</f>
        <v>m_ofs_trex_ar_invoices</v>
      </c>
      <c r="B449" s="1" t="s">
        <v>97</v>
      </c>
      <c r="C449" s="1" t="s">
        <v>105</v>
      </c>
      <c r="D449" s="1" t="s">
        <v>1</v>
      </c>
      <c r="E449" s="1" t="s">
        <v>107</v>
      </c>
      <c r="F449">
        <v>1</v>
      </c>
      <c r="G449" s="1"/>
      <c r="H449" s="1" t="s">
        <v>168</v>
      </c>
      <c r="I449" s="1" t="s">
        <v>28</v>
      </c>
      <c r="J449" s="1" t="s">
        <v>31</v>
      </c>
      <c r="K449">
        <v>38</v>
      </c>
    </row>
    <row r="450" spans="1:11" x14ac:dyDescent="0.25">
      <c r="A450" s="18" t="str">
        <f xml:space="preserve">  MapNameLkup</f>
        <v>m_ofs_trex_ar_invoices</v>
      </c>
      <c r="B450" s="1" t="s">
        <v>97</v>
      </c>
      <c r="C450" s="1" t="s">
        <v>105</v>
      </c>
      <c r="D450" s="1" t="s">
        <v>1</v>
      </c>
      <c r="E450" s="1" t="s">
        <v>107</v>
      </c>
      <c r="F450">
        <v>1</v>
      </c>
      <c r="G450" s="1"/>
      <c r="H450" s="1" t="s">
        <v>169</v>
      </c>
      <c r="I450" s="1" t="s">
        <v>28</v>
      </c>
      <c r="J450" s="1" t="s">
        <v>31</v>
      </c>
      <c r="K450">
        <v>39</v>
      </c>
    </row>
    <row r="451" spans="1:11" x14ac:dyDescent="0.25">
      <c r="A451" s="18" t="str">
        <f xml:space="preserve">  MapNameLkup</f>
        <v>m_ofs_trex_ar_invoices</v>
      </c>
      <c r="B451" s="1" t="s">
        <v>97</v>
      </c>
      <c r="C451" s="1" t="s">
        <v>105</v>
      </c>
      <c r="D451" s="1" t="s">
        <v>1</v>
      </c>
      <c r="E451" s="1" t="s">
        <v>107</v>
      </c>
      <c r="F451">
        <v>1</v>
      </c>
      <c r="G451" s="1"/>
      <c r="H451" s="1" t="s">
        <v>170</v>
      </c>
      <c r="I451" s="1" t="s">
        <v>28</v>
      </c>
      <c r="J451" s="1" t="s">
        <v>31</v>
      </c>
      <c r="K451">
        <v>40</v>
      </c>
    </row>
    <row r="452" spans="1:11" x14ac:dyDescent="0.25">
      <c r="A452" s="18" t="str">
        <f xml:space="preserve">  MapNameLkup</f>
        <v>m_ofs_trex_ar_invoices</v>
      </c>
      <c r="B452" s="1" t="s">
        <v>97</v>
      </c>
      <c r="C452" s="1" t="s">
        <v>105</v>
      </c>
      <c r="D452" s="1" t="s">
        <v>1</v>
      </c>
      <c r="E452" s="1" t="s">
        <v>107</v>
      </c>
      <c r="F452">
        <v>1</v>
      </c>
      <c r="G452" s="1"/>
      <c r="H452" s="1" t="s">
        <v>171</v>
      </c>
      <c r="I452" s="1" t="s">
        <v>28</v>
      </c>
      <c r="J452" s="1" t="s">
        <v>31</v>
      </c>
      <c r="K452">
        <v>41</v>
      </c>
    </row>
    <row r="453" spans="1:11" x14ac:dyDescent="0.25">
      <c r="A453" s="18" t="str">
        <f xml:space="preserve">  MapNameLkup</f>
        <v>m_ofs_trex_ar_invoices</v>
      </c>
      <c r="B453" s="1" t="s">
        <v>97</v>
      </c>
      <c r="C453" s="1" t="s">
        <v>105</v>
      </c>
      <c r="D453" s="1" t="s">
        <v>1</v>
      </c>
      <c r="E453" s="1" t="s">
        <v>107</v>
      </c>
      <c r="F453">
        <v>1</v>
      </c>
      <c r="G453" s="1"/>
      <c r="H453" s="1" t="s">
        <v>172</v>
      </c>
      <c r="I453" s="1" t="s">
        <v>28</v>
      </c>
      <c r="J453" s="1" t="s">
        <v>31</v>
      </c>
      <c r="K453">
        <v>42</v>
      </c>
    </row>
    <row r="454" spans="1:11" x14ac:dyDescent="0.25">
      <c r="A454" s="18" t="str">
        <f xml:space="preserve">  MapNameLkup</f>
        <v>m_ofs_trex_ar_invoices</v>
      </c>
      <c r="B454" s="1" t="s">
        <v>97</v>
      </c>
      <c r="C454" s="1" t="s">
        <v>105</v>
      </c>
      <c r="D454" s="1" t="s">
        <v>1</v>
      </c>
      <c r="E454" s="1" t="s">
        <v>107</v>
      </c>
      <c r="F454">
        <v>1</v>
      </c>
      <c r="G454" s="1"/>
      <c r="H454" s="1" t="s">
        <v>173</v>
      </c>
      <c r="I454" s="1" t="s">
        <v>28</v>
      </c>
      <c r="J454" s="1" t="s">
        <v>31</v>
      </c>
      <c r="K454">
        <v>43</v>
      </c>
    </row>
    <row r="455" spans="1:11" x14ac:dyDescent="0.25">
      <c r="A455" s="18" t="str">
        <f xml:space="preserve">  MapNameLkup</f>
        <v>m_ofs_trex_ar_invoices</v>
      </c>
      <c r="B455" s="1" t="s">
        <v>97</v>
      </c>
      <c r="C455" s="1" t="s">
        <v>105</v>
      </c>
      <c r="D455" s="1" t="s">
        <v>1</v>
      </c>
      <c r="E455" s="1" t="s">
        <v>107</v>
      </c>
      <c r="F455">
        <v>1</v>
      </c>
      <c r="G455" s="1"/>
      <c r="H455" s="1" t="s">
        <v>424</v>
      </c>
      <c r="I455" s="1" t="s">
        <v>28</v>
      </c>
      <c r="J455" s="1" t="s">
        <v>31</v>
      </c>
      <c r="K455">
        <v>44</v>
      </c>
    </row>
    <row r="456" spans="1:11" x14ac:dyDescent="0.25">
      <c r="A456" s="18" t="str">
        <f xml:space="preserve">  MapNameLkup</f>
        <v>m_ofs_trex_ar_invoices</v>
      </c>
      <c r="B456" s="1" t="s">
        <v>97</v>
      </c>
      <c r="C456" s="1" t="s">
        <v>105</v>
      </c>
      <c r="D456" s="1" t="s">
        <v>1</v>
      </c>
      <c r="E456" s="1" t="s">
        <v>107</v>
      </c>
      <c r="F456">
        <v>1</v>
      </c>
      <c r="G456" s="1"/>
      <c r="H456" s="1" t="s">
        <v>425</v>
      </c>
      <c r="I456" s="1" t="s">
        <v>28</v>
      </c>
      <c r="J456" s="1" t="s">
        <v>32</v>
      </c>
      <c r="K456">
        <v>45</v>
      </c>
    </row>
    <row r="457" spans="1:11" x14ac:dyDescent="0.25">
      <c r="A457" s="18" t="str">
        <f xml:space="preserve">  MapNameLkup</f>
        <v>m_ofs_trex_ar_invoices</v>
      </c>
      <c r="B457" s="1" t="s">
        <v>97</v>
      </c>
      <c r="C457" s="1" t="s">
        <v>105</v>
      </c>
      <c r="D457" s="1" t="s">
        <v>1</v>
      </c>
      <c r="E457" s="1" t="s">
        <v>107</v>
      </c>
      <c r="F457">
        <v>1</v>
      </c>
      <c r="G457" s="1"/>
      <c r="H457" s="1" t="s">
        <v>426</v>
      </c>
      <c r="I457" s="1" t="s">
        <v>28</v>
      </c>
      <c r="J457" s="1" t="s">
        <v>32</v>
      </c>
      <c r="K457">
        <v>46</v>
      </c>
    </row>
    <row r="458" spans="1:11" x14ac:dyDescent="0.25">
      <c r="A458" s="18" t="str">
        <f xml:space="preserve">  MapNameLkup</f>
        <v>m_ofs_trex_ar_invoices</v>
      </c>
      <c r="B458" s="1" t="s">
        <v>97</v>
      </c>
      <c r="C458" s="1" t="s">
        <v>105</v>
      </c>
      <c r="D458" s="1" t="s">
        <v>1</v>
      </c>
      <c r="E458" s="1" t="s">
        <v>107</v>
      </c>
      <c r="F458">
        <v>1</v>
      </c>
      <c r="G458" s="1"/>
      <c r="H458" s="1" t="s">
        <v>427</v>
      </c>
      <c r="I458" s="1" t="s">
        <v>28</v>
      </c>
      <c r="J458" s="1" t="s">
        <v>31</v>
      </c>
      <c r="K458">
        <v>47</v>
      </c>
    </row>
    <row r="459" spans="1:11" x14ac:dyDescent="0.25">
      <c r="A459" s="18" t="str">
        <f xml:space="preserve">  MapNameLkup</f>
        <v>m_ofs_trex_ar_invoices</v>
      </c>
      <c r="B459" s="1" t="s">
        <v>97</v>
      </c>
      <c r="C459" s="1" t="s">
        <v>105</v>
      </c>
      <c r="D459" s="1" t="s">
        <v>1</v>
      </c>
      <c r="E459" s="1" t="s">
        <v>107</v>
      </c>
      <c r="F459">
        <v>1</v>
      </c>
      <c r="G459" s="1"/>
      <c r="H459" s="1" t="s">
        <v>428</v>
      </c>
      <c r="I459" s="1" t="s">
        <v>28</v>
      </c>
      <c r="J459" s="1" t="s">
        <v>31</v>
      </c>
      <c r="K459">
        <v>48</v>
      </c>
    </row>
    <row r="460" spans="1:11" x14ac:dyDescent="0.25">
      <c r="A460" s="18" t="str">
        <f xml:space="preserve">  MapNameLkup</f>
        <v>m_ofs_trex_ar_invoices</v>
      </c>
      <c r="B460" s="1" t="s">
        <v>97</v>
      </c>
      <c r="C460" s="1" t="s">
        <v>105</v>
      </c>
      <c r="D460" s="1" t="s">
        <v>1</v>
      </c>
      <c r="E460" s="1" t="s">
        <v>107</v>
      </c>
      <c r="F460">
        <v>1</v>
      </c>
      <c r="G460" s="1"/>
      <c r="H460" s="1" t="s">
        <v>207</v>
      </c>
      <c r="I460" s="1" t="s">
        <v>28</v>
      </c>
      <c r="J460" s="1" t="s">
        <v>31</v>
      </c>
      <c r="K460">
        <v>49</v>
      </c>
    </row>
    <row r="461" spans="1:11" x14ac:dyDescent="0.25">
      <c r="A461" s="18" t="str">
        <f xml:space="preserve">  MapNameLkup</f>
        <v>m_ofs_trex_ar_invoices</v>
      </c>
      <c r="B461" s="1" t="s">
        <v>97</v>
      </c>
      <c r="C461" s="1" t="s">
        <v>105</v>
      </c>
      <c r="D461" s="1" t="s">
        <v>1</v>
      </c>
      <c r="E461" s="1" t="s">
        <v>107</v>
      </c>
      <c r="F461">
        <v>1</v>
      </c>
      <c r="G461" s="1"/>
      <c r="H461" s="1" t="s">
        <v>208</v>
      </c>
      <c r="I461" s="1" t="s">
        <v>28</v>
      </c>
      <c r="J461" s="1" t="s">
        <v>31</v>
      </c>
      <c r="K461">
        <v>50</v>
      </c>
    </row>
    <row r="462" spans="1:11" x14ac:dyDescent="0.25">
      <c r="A462" s="18" t="str">
        <f xml:space="preserve">  MapNameLkup</f>
        <v>m_ofs_trex_ar_invoices</v>
      </c>
      <c r="B462" s="1" t="s">
        <v>97</v>
      </c>
      <c r="C462" s="1" t="s">
        <v>105</v>
      </c>
      <c r="D462" s="1" t="s">
        <v>1</v>
      </c>
      <c r="E462" s="1" t="s">
        <v>107</v>
      </c>
      <c r="F462">
        <v>1</v>
      </c>
      <c r="G462" s="1"/>
      <c r="H462" s="1" t="s">
        <v>209</v>
      </c>
      <c r="I462" s="1" t="s">
        <v>28</v>
      </c>
      <c r="J462" s="1" t="s">
        <v>31</v>
      </c>
      <c r="K462">
        <v>51</v>
      </c>
    </row>
    <row r="463" spans="1:11" x14ac:dyDescent="0.25">
      <c r="A463" s="18" t="str">
        <f xml:space="preserve">  MapNameLkup</f>
        <v>m_ofs_trex_ar_invoices</v>
      </c>
      <c r="B463" s="1" t="s">
        <v>97</v>
      </c>
      <c r="C463" s="1" t="s">
        <v>105</v>
      </c>
      <c r="D463" s="1" t="s">
        <v>1</v>
      </c>
      <c r="E463" s="1" t="s">
        <v>107</v>
      </c>
      <c r="F463">
        <v>1</v>
      </c>
      <c r="G463" s="1"/>
      <c r="H463" s="1" t="s">
        <v>210</v>
      </c>
      <c r="I463" s="1" t="s">
        <v>28</v>
      </c>
      <c r="J463" s="1" t="s">
        <v>31</v>
      </c>
      <c r="K463">
        <v>52</v>
      </c>
    </row>
    <row r="464" spans="1:11" x14ac:dyDescent="0.25">
      <c r="A464" s="18" t="str">
        <f xml:space="preserve">  MapNameLkup</f>
        <v>m_ofs_trex_ar_invoices</v>
      </c>
      <c r="B464" s="1" t="s">
        <v>97</v>
      </c>
      <c r="C464" s="1" t="s">
        <v>105</v>
      </c>
      <c r="D464" s="1" t="s">
        <v>1</v>
      </c>
      <c r="E464" s="1" t="s">
        <v>107</v>
      </c>
      <c r="F464">
        <v>1</v>
      </c>
      <c r="G464" s="1"/>
      <c r="H464" s="1" t="s">
        <v>211</v>
      </c>
      <c r="I464" s="1" t="s">
        <v>28</v>
      </c>
      <c r="J464" s="1" t="s">
        <v>31</v>
      </c>
      <c r="K464">
        <v>53</v>
      </c>
    </row>
    <row r="465" spans="1:11" x14ac:dyDescent="0.25">
      <c r="A465" s="18" t="str">
        <f xml:space="preserve">  MapNameLkup</f>
        <v>m_ofs_trex_ar_invoices</v>
      </c>
      <c r="B465" s="1" t="s">
        <v>97</v>
      </c>
      <c r="C465" s="1" t="s">
        <v>105</v>
      </c>
      <c r="D465" s="1" t="s">
        <v>1</v>
      </c>
      <c r="E465" s="1" t="s">
        <v>107</v>
      </c>
      <c r="F465">
        <v>1</v>
      </c>
      <c r="G465" s="1"/>
      <c r="H465" s="1" t="s">
        <v>429</v>
      </c>
      <c r="I465" s="1" t="s">
        <v>28</v>
      </c>
      <c r="J465" s="1" t="s">
        <v>31</v>
      </c>
      <c r="K465">
        <v>54</v>
      </c>
    </row>
    <row r="466" spans="1:11" x14ac:dyDescent="0.25">
      <c r="A466" s="18" t="str">
        <f xml:space="preserve">  MapNameLkup</f>
        <v>m_ofs_trex_ar_invoices</v>
      </c>
      <c r="B466" s="1" t="s">
        <v>97</v>
      </c>
      <c r="C466" s="1" t="s">
        <v>105</v>
      </c>
      <c r="D466" s="1" t="s">
        <v>1</v>
      </c>
      <c r="E466" s="1" t="s">
        <v>107</v>
      </c>
      <c r="F466">
        <v>1</v>
      </c>
      <c r="G466" s="1"/>
      <c r="H466" s="1" t="s">
        <v>378</v>
      </c>
      <c r="I466" s="1" t="s">
        <v>28</v>
      </c>
      <c r="J466" s="1" t="s">
        <v>31</v>
      </c>
      <c r="K466">
        <v>55</v>
      </c>
    </row>
    <row r="467" spans="1:11" x14ac:dyDescent="0.25">
      <c r="A467" s="18" t="str">
        <f xml:space="preserve">  MapNameLkup</f>
        <v>m_ofs_trex_ar_invoices</v>
      </c>
      <c r="B467" s="1" t="s">
        <v>97</v>
      </c>
      <c r="C467" s="1" t="s">
        <v>105</v>
      </c>
      <c r="D467" s="1" t="s">
        <v>1</v>
      </c>
      <c r="E467" s="1" t="s">
        <v>107</v>
      </c>
      <c r="F467">
        <v>1</v>
      </c>
      <c r="G467" s="1"/>
      <c r="H467" s="1" t="s">
        <v>379</v>
      </c>
      <c r="I467" s="1" t="s">
        <v>28</v>
      </c>
      <c r="J467" s="1" t="s">
        <v>31</v>
      </c>
      <c r="K467">
        <v>56</v>
      </c>
    </row>
    <row r="468" spans="1:11" x14ac:dyDescent="0.25">
      <c r="A468" s="18" t="str">
        <f xml:space="preserve">  MapNameLkup</f>
        <v>m_ofs_trex_ar_invoices</v>
      </c>
      <c r="B468" s="1" t="s">
        <v>97</v>
      </c>
      <c r="C468" s="1" t="s">
        <v>105</v>
      </c>
      <c r="D468" s="1" t="s">
        <v>1</v>
      </c>
      <c r="E468" s="1" t="s">
        <v>107</v>
      </c>
      <c r="F468">
        <v>1</v>
      </c>
      <c r="G468" s="1"/>
      <c r="H468" s="1" t="s">
        <v>380</v>
      </c>
      <c r="I468" s="1" t="s">
        <v>28</v>
      </c>
      <c r="J468" s="1" t="s">
        <v>31</v>
      </c>
      <c r="K468">
        <v>57</v>
      </c>
    </row>
    <row r="469" spans="1:11" x14ac:dyDescent="0.25">
      <c r="A469" s="18" t="str">
        <f xml:space="preserve">  MapNameLkup</f>
        <v>m_ofs_trex_ar_invoices</v>
      </c>
      <c r="B469" s="1" t="s">
        <v>97</v>
      </c>
      <c r="C469" s="1" t="s">
        <v>105</v>
      </c>
      <c r="D469" s="1" t="s">
        <v>1</v>
      </c>
      <c r="E469" s="1" t="s">
        <v>107</v>
      </c>
      <c r="F469">
        <v>1</v>
      </c>
      <c r="G469" s="1"/>
      <c r="H469" s="1" t="s">
        <v>382</v>
      </c>
      <c r="I469" s="1" t="s">
        <v>28</v>
      </c>
      <c r="J469" s="1" t="s">
        <v>31</v>
      </c>
      <c r="K469">
        <v>58</v>
      </c>
    </row>
    <row r="470" spans="1:11" x14ac:dyDescent="0.25">
      <c r="A470" s="18" t="str">
        <f xml:space="preserve">  MapNameLkup</f>
        <v>m_ofs_trex_ar_invoices</v>
      </c>
      <c r="B470" s="1" t="s">
        <v>97</v>
      </c>
      <c r="C470" s="1" t="s">
        <v>105</v>
      </c>
      <c r="D470" s="1" t="s">
        <v>1</v>
      </c>
      <c r="E470" s="1" t="s">
        <v>107</v>
      </c>
      <c r="F470">
        <v>1</v>
      </c>
      <c r="G470" s="1"/>
      <c r="H470" s="1" t="s">
        <v>430</v>
      </c>
      <c r="I470" s="1" t="s">
        <v>28</v>
      </c>
      <c r="J470" s="1" t="s">
        <v>31</v>
      </c>
      <c r="K470">
        <v>59</v>
      </c>
    </row>
    <row r="471" spans="1:11" x14ac:dyDescent="0.25">
      <c r="A471" s="18" t="str">
        <f xml:space="preserve">  MapNameLkup</f>
        <v>m_ofs_trex_ar_invoices</v>
      </c>
      <c r="B471" s="1" t="s">
        <v>97</v>
      </c>
      <c r="C471" s="1" t="s">
        <v>105</v>
      </c>
      <c r="D471" s="1" t="s">
        <v>1</v>
      </c>
      <c r="E471" s="1" t="s">
        <v>107</v>
      </c>
      <c r="F471">
        <v>1</v>
      </c>
      <c r="G471" s="1"/>
      <c r="H471" s="1" t="s">
        <v>431</v>
      </c>
      <c r="I471" s="1" t="s">
        <v>28</v>
      </c>
      <c r="J471" s="1" t="s">
        <v>31</v>
      </c>
      <c r="K471">
        <v>60</v>
      </c>
    </row>
    <row r="472" spans="1:11" x14ac:dyDescent="0.25">
      <c r="A472" s="18" t="str">
        <f xml:space="preserve">  MapNameLkup</f>
        <v>m_ofs_trex_ar_invoices</v>
      </c>
      <c r="B472" s="1" t="s">
        <v>97</v>
      </c>
      <c r="C472" s="1" t="s">
        <v>105</v>
      </c>
      <c r="D472" s="1" t="s">
        <v>1</v>
      </c>
      <c r="E472" s="1" t="s">
        <v>107</v>
      </c>
      <c r="F472">
        <v>1</v>
      </c>
      <c r="G472" s="1"/>
      <c r="H472" s="1" t="s">
        <v>432</v>
      </c>
      <c r="I472" s="1" t="s">
        <v>28</v>
      </c>
      <c r="J472" s="1" t="s">
        <v>31</v>
      </c>
      <c r="K472">
        <v>61</v>
      </c>
    </row>
    <row r="473" spans="1:11" x14ac:dyDescent="0.25">
      <c r="A473" s="18" t="str">
        <f xml:space="preserve">  MapNameLkup</f>
        <v>m_ofs_trex_ar_invoices</v>
      </c>
      <c r="B473" s="1" t="s">
        <v>97</v>
      </c>
      <c r="C473" s="1" t="s">
        <v>105</v>
      </c>
      <c r="D473" s="1" t="s">
        <v>1</v>
      </c>
      <c r="E473" s="1" t="s">
        <v>107</v>
      </c>
      <c r="F473">
        <v>1</v>
      </c>
      <c r="G473" s="1"/>
      <c r="H473" s="1" t="s">
        <v>433</v>
      </c>
      <c r="I473" s="1" t="s">
        <v>28</v>
      </c>
      <c r="J473" s="1" t="s">
        <v>31</v>
      </c>
      <c r="K473">
        <v>62</v>
      </c>
    </row>
    <row r="474" spans="1:11" x14ac:dyDescent="0.25">
      <c r="A474" s="18" t="str">
        <f xml:space="preserve">  MapNameLkup</f>
        <v>m_ofs_trex_ar_invoices</v>
      </c>
      <c r="B474" s="1" t="s">
        <v>97</v>
      </c>
      <c r="C474" s="1" t="s">
        <v>105</v>
      </c>
      <c r="D474" s="1" t="s">
        <v>1</v>
      </c>
      <c r="E474" s="1" t="s">
        <v>107</v>
      </c>
      <c r="F474">
        <v>1</v>
      </c>
      <c r="G474" s="1"/>
      <c r="H474" s="1" t="s">
        <v>434</v>
      </c>
      <c r="I474" s="1" t="s">
        <v>28</v>
      </c>
      <c r="J474" s="1" t="s">
        <v>31</v>
      </c>
      <c r="K474">
        <v>63</v>
      </c>
    </row>
    <row r="475" spans="1:11" x14ac:dyDescent="0.25">
      <c r="A475" s="18" t="str">
        <f xml:space="preserve">  MapNameLkup</f>
        <v>m_ofs_trex_ar_invoices</v>
      </c>
      <c r="B475" s="1" t="s">
        <v>97</v>
      </c>
      <c r="C475" s="1" t="s">
        <v>105</v>
      </c>
      <c r="D475" s="1" t="s">
        <v>1</v>
      </c>
      <c r="E475" s="1" t="s">
        <v>107</v>
      </c>
      <c r="F475">
        <v>1</v>
      </c>
      <c r="G475" s="1"/>
      <c r="H475" s="1" t="s">
        <v>435</v>
      </c>
      <c r="I475" s="1" t="s">
        <v>28</v>
      </c>
      <c r="J475" s="1" t="s">
        <v>31</v>
      </c>
      <c r="K475">
        <v>64</v>
      </c>
    </row>
    <row r="476" spans="1:11" x14ac:dyDescent="0.25">
      <c r="A476" s="18" t="str">
        <f xml:space="preserve">  MapNameLkup</f>
        <v>m_ofs_trex_ar_invoices</v>
      </c>
      <c r="B476" s="1" t="s">
        <v>97</v>
      </c>
      <c r="C476" s="1" t="s">
        <v>105</v>
      </c>
      <c r="D476" s="1" t="s">
        <v>1</v>
      </c>
      <c r="E476" s="1" t="s">
        <v>107</v>
      </c>
      <c r="F476">
        <v>1</v>
      </c>
      <c r="G476" s="1"/>
      <c r="H476" s="1" t="s">
        <v>436</v>
      </c>
      <c r="I476" s="1" t="s">
        <v>28</v>
      </c>
      <c r="J476" s="1" t="s">
        <v>31</v>
      </c>
      <c r="K476">
        <v>65</v>
      </c>
    </row>
    <row r="477" spans="1:11" x14ac:dyDescent="0.25">
      <c r="A477" s="18" t="str">
        <f xml:space="preserve">  MapNameLkup</f>
        <v>m_ofs_trex_ar_invoices</v>
      </c>
      <c r="B477" s="1" t="s">
        <v>97</v>
      </c>
      <c r="C477" s="1" t="s">
        <v>105</v>
      </c>
      <c r="D477" s="1" t="s">
        <v>1</v>
      </c>
      <c r="E477" s="1" t="s">
        <v>107</v>
      </c>
      <c r="F477">
        <v>1</v>
      </c>
      <c r="G477" s="1"/>
      <c r="H477" s="1" t="s">
        <v>437</v>
      </c>
      <c r="I477" s="1" t="s">
        <v>28</v>
      </c>
      <c r="J477" s="1" t="s">
        <v>31</v>
      </c>
      <c r="K477">
        <v>66</v>
      </c>
    </row>
    <row r="478" spans="1:11" x14ac:dyDescent="0.25">
      <c r="A478" s="18" t="str">
        <f xml:space="preserve">  MapNameLkup</f>
        <v>m_ofs_trex_ar_invoices</v>
      </c>
      <c r="B478" s="1" t="s">
        <v>97</v>
      </c>
      <c r="C478" s="1" t="s">
        <v>105</v>
      </c>
      <c r="D478" s="1" t="s">
        <v>1</v>
      </c>
      <c r="E478" s="1" t="s">
        <v>107</v>
      </c>
      <c r="F478">
        <v>1</v>
      </c>
      <c r="G478" s="1"/>
      <c r="H478" s="1" t="s">
        <v>159</v>
      </c>
      <c r="I478" s="1" t="s">
        <v>28</v>
      </c>
      <c r="J478" s="1" t="s">
        <v>31</v>
      </c>
      <c r="K478">
        <v>67</v>
      </c>
    </row>
    <row r="479" spans="1:11" x14ac:dyDescent="0.25">
      <c r="A479" s="18" t="str">
        <f xml:space="preserve">  MapNameLkup</f>
        <v>m_ofs_trex_ar_invoices</v>
      </c>
      <c r="B479" s="1" t="s">
        <v>97</v>
      </c>
      <c r="C479" s="1" t="s">
        <v>105</v>
      </c>
      <c r="D479" s="1" t="s">
        <v>1</v>
      </c>
      <c r="E479" s="1" t="s">
        <v>107</v>
      </c>
      <c r="F479">
        <v>1</v>
      </c>
      <c r="G479" s="1"/>
      <c r="H479" s="1" t="s">
        <v>438</v>
      </c>
      <c r="I479" s="1" t="s">
        <v>28</v>
      </c>
      <c r="J479" s="1" t="s">
        <v>31</v>
      </c>
      <c r="K479">
        <v>68</v>
      </c>
    </row>
    <row r="480" spans="1:11" x14ac:dyDescent="0.25">
      <c r="A480" s="18" t="str">
        <f xml:space="preserve">  MapNameLkup</f>
        <v>m_ofs_trex_ar_invoices</v>
      </c>
      <c r="B480" s="1" t="s">
        <v>97</v>
      </c>
      <c r="C480" s="1" t="s">
        <v>105</v>
      </c>
      <c r="D480" s="1" t="s">
        <v>1</v>
      </c>
      <c r="E480" s="1" t="s">
        <v>107</v>
      </c>
      <c r="F480">
        <v>1</v>
      </c>
      <c r="G480" s="1"/>
      <c r="H480" s="1" t="s">
        <v>219</v>
      </c>
      <c r="I480" s="1" t="s">
        <v>28</v>
      </c>
      <c r="J480" s="1" t="s">
        <v>31</v>
      </c>
      <c r="K480">
        <v>69</v>
      </c>
    </row>
    <row r="481" spans="1:11" x14ac:dyDescent="0.25">
      <c r="A481" s="18" t="str">
        <f xml:space="preserve">  MapNameLkup</f>
        <v>m_ofs_trex_ar_invoices</v>
      </c>
      <c r="B481" s="1" t="s">
        <v>97</v>
      </c>
      <c r="C481" s="1" t="s">
        <v>105</v>
      </c>
      <c r="D481" s="1" t="s">
        <v>1</v>
      </c>
      <c r="E481" s="1" t="s">
        <v>107</v>
      </c>
      <c r="F481">
        <v>1</v>
      </c>
      <c r="G481" s="1"/>
      <c r="H481" s="1" t="s">
        <v>220</v>
      </c>
      <c r="I481" s="1" t="s">
        <v>28</v>
      </c>
      <c r="J481" s="1" t="s">
        <v>31</v>
      </c>
      <c r="K481">
        <v>70</v>
      </c>
    </row>
    <row r="482" spans="1:11" x14ac:dyDescent="0.25">
      <c r="A482" s="18" t="str">
        <f xml:space="preserve">  MapNameLkup</f>
        <v>m_ofs_trex_ar_invoices</v>
      </c>
      <c r="B482" s="1" t="s">
        <v>97</v>
      </c>
      <c r="C482" s="1" t="s">
        <v>105</v>
      </c>
      <c r="D482" s="1" t="s">
        <v>1</v>
      </c>
      <c r="E482" s="1" t="s">
        <v>107</v>
      </c>
      <c r="F482">
        <v>1</v>
      </c>
      <c r="G482" s="1"/>
      <c r="H482" s="1" t="s">
        <v>221</v>
      </c>
      <c r="I482" s="1" t="s">
        <v>28</v>
      </c>
      <c r="J482" s="1" t="s">
        <v>31</v>
      </c>
      <c r="K482">
        <v>71</v>
      </c>
    </row>
    <row r="483" spans="1:11" x14ac:dyDescent="0.25">
      <c r="A483" s="18" t="str">
        <f xml:space="preserve">  MapNameLkup</f>
        <v>m_ofs_trex_ar_invoices</v>
      </c>
      <c r="B483" s="1" t="s">
        <v>97</v>
      </c>
      <c r="C483" s="1" t="s">
        <v>105</v>
      </c>
      <c r="D483" s="1" t="s">
        <v>1</v>
      </c>
      <c r="E483" s="1" t="s">
        <v>107</v>
      </c>
      <c r="F483">
        <v>1</v>
      </c>
      <c r="G483" s="1"/>
      <c r="H483" s="1" t="s">
        <v>222</v>
      </c>
      <c r="I483" s="1" t="s">
        <v>28</v>
      </c>
      <c r="J483" s="1" t="s">
        <v>31</v>
      </c>
      <c r="K483">
        <v>72</v>
      </c>
    </row>
    <row r="484" spans="1:11" x14ac:dyDescent="0.25">
      <c r="A484" s="18" t="str">
        <f xml:space="preserve">  MapNameLkup</f>
        <v>m_ofs_trex_ar_invoices</v>
      </c>
      <c r="B484" s="1" t="s">
        <v>97</v>
      </c>
      <c r="C484" s="1" t="s">
        <v>105</v>
      </c>
      <c r="D484" s="1" t="s">
        <v>1</v>
      </c>
      <c r="E484" s="1" t="s">
        <v>107</v>
      </c>
      <c r="F484">
        <v>1</v>
      </c>
      <c r="G484" s="1"/>
      <c r="H484" s="1" t="s">
        <v>223</v>
      </c>
      <c r="I484" s="1" t="s">
        <v>28</v>
      </c>
      <c r="J484" s="1" t="s">
        <v>31</v>
      </c>
      <c r="K484">
        <v>73</v>
      </c>
    </row>
    <row r="485" spans="1:11" x14ac:dyDescent="0.25">
      <c r="A485" s="18" t="str">
        <f xml:space="preserve">  MapNameLkup</f>
        <v>m_ofs_trex_ar_invoices</v>
      </c>
      <c r="B485" s="1" t="s">
        <v>97</v>
      </c>
      <c r="C485" s="1" t="s">
        <v>105</v>
      </c>
      <c r="D485" s="1" t="s">
        <v>1</v>
      </c>
      <c r="E485" s="1" t="s">
        <v>107</v>
      </c>
      <c r="F485">
        <v>1</v>
      </c>
      <c r="G485" s="1"/>
      <c r="H485" s="1" t="s">
        <v>224</v>
      </c>
      <c r="I485" s="1" t="s">
        <v>28</v>
      </c>
      <c r="J485" s="1" t="s">
        <v>31</v>
      </c>
      <c r="K485">
        <v>74</v>
      </c>
    </row>
    <row r="486" spans="1:11" x14ac:dyDescent="0.25">
      <c r="A486" s="18" t="str">
        <f xml:space="preserve">  MapNameLkup</f>
        <v>m_ofs_trex_ar_invoices</v>
      </c>
      <c r="B486" s="1" t="s">
        <v>97</v>
      </c>
      <c r="C486" s="1" t="s">
        <v>105</v>
      </c>
      <c r="D486" s="1" t="s">
        <v>1</v>
      </c>
      <c r="E486" s="1" t="s">
        <v>107</v>
      </c>
      <c r="F486">
        <v>1</v>
      </c>
      <c r="G486" s="1"/>
      <c r="H486" s="1" t="s">
        <v>225</v>
      </c>
      <c r="I486" s="1" t="s">
        <v>28</v>
      </c>
      <c r="J486" s="1" t="s">
        <v>31</v>
      </c>
      <c r="K486">
        <v>75</v>
      </c>
    </row>
    <row r="487" spans="1:11" x14ac:dyDescent="0.25">
      <c r="A487" s="18" t="str">
        <f xml:space="preserve">  MapNameLkup</f>
        <v>m_ofs_trex_ar_invoices</v>
      </c>
      <c r="B487" s="1" t="s">
        <v>97</v>
      </c>
      <c r="C487" s="1" t="s">
        <v>105</v>
      </c>
      <c r="D487" s="1" t="s">
        <v>1</v>
      </c>
      <c r="E487" s="1" t="s">
        <v>107</v>
      </c>
      <c r="F487">
        <v>1</v>
      </c>
      <c r="G487" s="1"/>
      <c r="H487" s="1" t="s">
        <v>226</v>
      </c>
      <c r="I487" s="1" t="s">
        <v>28</v>
      </c>
      <c r="J487" s="1" t="s">
        <v>31</v>
      </c>
      <c r="K487">
        <v>76</v>
      </c>
    </row>
    <row r="488" spans="1:11" x14ac:dyDescent="0.25">
      <c r="A488" s="18" t="str">
        <f xml:space="preserve">  MapNameLkup</f>
        <v>m_ofs_trex_ar_invoices</v>
      </c>
      <c r="B488" s="1" t="s">
        <v>97</v>
      </c>
      <c r="C488" s="1" t="s">
        <v>105</v>
      </c>
      <c r="D488" s="1" t="s">
        <v>1</v>
      </c>
      <c r="E488" s="1" t="s">
        <v>107</v>
      </c>
      <c r="F488">
        <v>1</v>
      </c>
      <c r="G488" s="1"/>
      <c r="H488" s="1" t="s">
        <v>227</v>
      </c>
      <c r="I488" s="1" t="s">
        <v>28</v>
      </c>
      <c r="J488" s="1" t="s">
        <v>31</v>
      </c>
      <c r="K488">
        <v>77</v>
      </c>
    </row>
    <row r="489" spans="1:11" x14ac:dyDescent="0.25">
      <c r="A489" s="18" t="str">
        <f xml:space="preserve">  MapNameLkup</f>
        <v>m_ofs_trex_ar_invoices</v>
      </c>
      <c r="B489" s="1" t="s">
        <v>97</v>
      </c>
      <c r="C489" s="1" t="s">
        <v>105</v>
      </c>
      <c r="D489" s="1" t="s">
        <v>1</v>
      </c>
      <c r="E489" s="1" t="s">
        <v>107</v>
      </c>
      <c r="F489">
        <v>1</v>
      </c>
      <c r="G489" s="1"/>
      <c r="H489" s="1" t="s">
        <v>228</v>
      </c>
      <c r="I489" s="1" t="s">
        <v>28</v>
      </c>
      <c r="J489" s="1" t="s">
        <v>31</v>
      </c>
      <c r="K489">
        <v>78</v>
      </c>
    </row>
    <row r="490" spans="1:11" x14ac:dyDescent="0.25">
      <c r="A490" s="18" t="str">
        <f xml:space="preserve">  MapNameLkup</f>
        <v>m_ofs_trex_ar_invoices</v>
      </c>
      <c r="B490" s="1" t="s">
        <v>97</v>
      </c>
      <c r="C490" s="1" t="s">
        <v>105</v>
      </c>
      <c r="D490" s="1" t="s">
        <v>1</v>
      </c>
      <c r="E490" s="1" t="s">
        <v>107</v>
      </c>
      <c r="F490">
        <v>1</v>
      </c>
      <c r="G490" s="1"/>
      <c r="H490" s="1" t="s">
        <v>229</v>
      </c>
      <c r="I490" s="1" t="s">
        <v>28</v>
      </c>
      <c r="J490" s="1" t="s">
        <v>31</v>
      </c>
      <c r="K490">
        <v>79</v>
      </c>
    </row>
    <row r="491" spans="1:11" x14ac:dyDescent="0.25">
      <c r="A491" s="18" t="str">
        <f xml:space="preserve">  MapNameLkup</f>
        <v>m_ofs_trex_ar_invoices</v>
      </c>
      <c r="B491" s="1" t="s">
        <v>97</v>
      </c>
      <c r="C491" s="1" t="s">
        <v>105</v>
      </c>
      <c r="D491" s="1" t="s">
        <v>1</v>
      </c>
      <c r="E491" s="1" t="s">
        <v>107</v>
      </c>
      <c r="F491">
        <v>1</v>
      </c>
      <c r="G491" s="1"/>
      <c r="H491" s="1" t="s">
        <v>230</v>
      </c>
      <c r="I491" s="1" t="s">
        <v>28</v>
      </c>
      <c r="J491" s="1" t="s">
        <v>31</v>
      </c>
      <c r="K491">
        <v>80</v>
      </c>
    </row>
    <row r="492" spans="1:11" x14ac:dyDescent="0.25">
      <c r="A492" s="18" t="str">
        <f xml:space="preserve">  MapNameLkup</f>
        <v>m_ofs_trex_ar_invoices</v>
      </c>
      <c r="B492" s="1" t="s">
        <v>97</v>
      </c>
      <c r="C492" s="1" t="s">
        <v>105</v>
      </c>
      <c r="D492" s="1" t="s">
        <v>1</v>
      </c>
      <c r="E492" s="1" t="s">
        <v>107</v>
      </c>
      <c r="F492">
        <v>1</v>
      </c>
      <c r="G492" s="1"/>
      <c r="H492" s="1" t="s">
        <v>231</v>
      </c>
      <c r="I492" s="1" t="s">
        <v>28</v>
      </c>
      <c r="J492" s="1" t="s">
        <v>31</v>
      </c>
      <c r="K492">
        <v>81</v>
      </c>
    </row>
    <row r="493" spans="1:11" x14ac:dyDescent="0.25">
      <c r="A493" s="18" t="str">
        <f xml:space="preserve">  MapNameLkup</f>
        <v>m_ofs_trex_ar_invoices</v>
      </c>
      <c r="B493" s="1" t="s">
        <v>97</v>
      </c>
      <c r="C493" s="1" t="s">
        <v>105</v>
      </c>
      <c r="D493" s="1" t="s">
        <v>1</v>
      </c>
      <c r="E493" s="1" t="s">
        <v>107</v>
      </c>
      <c r="F493">
        <v>1</v>
      </c>
      <c r="G493" s="1"/>
      <c r="H493" s="1" t="s">
        <v>232</v>
      </c>
      <c r="I493" s="1" t="s">
        <v>28</v>
      </c>
      <c r="J493" s="1" t="s">
        <v>31</v>
      </c>
      <c r="K493">
        <v>82</v>
      </c>
    </row>
    <row r="494" spans="1:11" x14ac:dyDescent="0.25">
      <c r="A494" s="18" t="str">
        <f xml:space="preserve">  MapNameLkup</f>
        <v>m_ofs_trex_ar_invoices</v>
      </c>
      <c r="B494" s="1" t="s">
        <v>97</v>
      </c>
      <c r="C494" s="1" t="s">
        <v>105</v>
      </c>
      <c r="D494" s="1" t="s">
        <v>1</v>
      </c>
      <c r="E494" s="1" t="s">
        <v>107</v>
      </c>
      <c r="F494">
        <v>1</v>
      </c>
      <c r="G494" s="1"/>
      <c r="H494" s="1" t="s">
        <v>233</v>
      </c>
      <c r="I494" s="1" t="s">
        <v>28</v>
      </c>
      <c r="J494" s="1" t="s">
        <v>31</v>
      </c>
      <c r="K494">
        <v>83</v>
      </c>
    </row>
    <row r="495" spans="1:11" x14ac:dyDescent="0.25">
      <c r="A495" s="18" t="str">
        <f xml:space="preserve">  MapNameLkup</f>
        <v>m_ofs_trex_ar_invoices</v>
      </c>
      <c r="B495" s="1" t="s">
        <v>97</v>
      </c>
      <c r="C495" s="1" t="s">
        <v>105</v>
      </c>
      <c r="D495" s="1" t="s">
        <v>1</v>
      </c>
      <c r="E495" s="1" t="s">
        <v>107</v>
      </c>
      <c r="F495">
        <v>1</v>
      </c>
      <c r="G495" s="1"/>
      <c r="H495" s="1" t="s">
        <v>234</v>
      </c>
      <c r="I495" s="1" t="s">
        <v>28</v>
      </c>
      <c r="J495" s="1" t="s">
        <v>31</v>
      </c>
      <c r="K495">
        <v>84</v>
      </c>
    </row>
    <row r="496" spans="1:11" x14ac:dyDescent="0.25">
      <c r="A496" s="18" t="str">
        <f xml:space="preserve">  MapNameLkup</f>
        <v>m_ofs_trex_ar_invoices</v>
      </c>
      <c r="B496" s="1" t="s">
        <v>97</v>
      </c>
      <c r="C496" s="1" t="s">
        <v>105</v>
      </c>
      <c r="D496" s="1" t="s">
        <v>1</v>
      </c>
      <c r="E496" s="1" t="s">
        <v>107</v>
      </c>
      <c r="F496">
        <v>1</v>
      </c>
      <c r="G496" s="1"/>
      <c r="H496" s="1" t="s">
        <v>235</v>
      </c>
      <c r="I496" s="1" t="s">
        <v>28</v>
      </c>
      <c r="J496" s="1" t="s">
        <v>31</v>
      </c>
      <c r="K496">
        <v>85</v>
      </c>
    </row>
    <row r="497" spans="1:11" x14ac:dyDescent="0.25">
      <c r="A497" s="18" t="str">
        <f xml:space="preserve">  MapNameLkup</f>
        <v>m_ofs_trex_ar_invoices</v>
      </c>
      <c r="B497" s="1" t="s">
        <v>97</v>
      </c>
      <c r="C497" s="1" t="s">
        <v>105</v>
      </c>
      <c r="D497" s="1" t="s">
        <v>1</v>
      </c>
      <c r="E497" s="1" t="s">
        <v>107</v>
      </c>
      <c r="F497">
        <v>1</v>
      </c>
      <c r="G497" s="1"/>
      <c r="H497" s="1" t="s">
        <v>236</v>
      </c>
      <c r="I497" s="1" t="s">
        <v>28</v>
      </c>
      <c r="J497" s="1" t="s">
        <v>31</v>
      </c>
      <c r="K497">
        <v>86</v>
      </c>
    </row>
    <row r="498" spans="1:11" x14ac:dyDescent="0.25">
      <c r="A498" s="18" t="str">
        <f xml:space="preserve">  MapNameLkup</f>
        <v>m_ofs_trex_ar_invoices</v>
      </c>
      <c r="B498" s="1" t="s">
        <v>97</v>
      </c>
      <c r="C498" s="1" t="s">
        <v>105</v>
      </c>
      <c r="D498" s="1" t="s">
        <v>1</v>
      </c>
      <c r="E498" s="1" t="s">
        <v>107</v>
      </c>
      <c r="F498">
        <v>1</v>
      </c>
      <c r="G498" s="1"/>
      <c r="H498" s="1" t="s">
        <v>237</v>
      </c>
      <c r="I498" s="1" t="s">
        <v>28</v>
      </c>
      <c r="J498" s="1" t="s">
        <v>31</v>
      </c>
      <c r="K498">
        <v>87</v>
      </c>
    </row>
    <row r="499" spans="1:11" x14ac:dyDescent="0.25">
      <c r="A499" s="18" t="str">
        <f xml:space="preserve">  MapNameLkup</f>
        <v>m_ofs_trex_ar_invoices</v>
      </c>
      <c r="B499" s="1" t="s">
        <v>97</v>
      </c>
      <c r="C499" s="1" t="s">
        <v>105</v>
      </c>
      <c r="D499" s="1" t="s">
        <v>1</v>
      </c>
      <c r="E499" s="1" t="s">
        <v>107</v>
      </c>
      <c r="F499">
        <v>1</v>
      </c>
      <c r="G499" s="1"/>
      <c r="H499" s="1" t="s">
        <v>238</v>
      </c>
      <c r="I499" s="1" t="s">
        <v>28</v>
      </c>
      <c r="J499" s="1" t="s">
        <v>31</v>
      </c>
      <c r="K499">
        <v>88</v>
      </c>
    </row>
    <row r="500" spans="1:11" x14ac:dyDescent="0.25">
      <c r="A500" s="18" t="str">
        <f xml:space="preserve">  MapNameLkup</f>
        <v>m_ofs_trex_ar_invoices</v>
      </c>
      <c r="B500" s="1" t="s">
        <v>97</v>
      </c>
      <c r="C500" s="1" t="s">
        <v>105</v>
      </c>
      <c r="D500" s="1" t="s">
        <v>1</v>
      </c>
      <c r="E500" s="1" t="s">
        <v>107</v>
      </c>
      <c r="F500">
        <v>1</v>
      </c>
      <c r="G500" s="1"/>
      <c r="H500" s="1" t="s">
        <v>239</v>
      </c>
      <c r="I500" s="1" t="s">
        <v>28</v>
      </c>
      <c r="J500" s="1" t="s">
        <v>31</v>
      </c>
      <c r="K500">
        <v>89</v>
      </c>
    </row>
    <row r="501" spans="1:11" x14ac:dyDescent="0.25">
      <c r="A501" s="18" t="str">
        <f xml:space="preserve">  MapNameLkup</f>
        <v>m_ofs_trex_ar_invoices</v>
      </c>
      <c r="B501" s="1" t="s">
        <v>97</v>
      </c>
      <c r="C501" s="1" t="s">
        <v>105</v>
      </c>
      <c r="D501" s="1" t="s">
        <v>1</v>
      </c>
      <c r="E501" s="1" t="s">
        <v>107</v>
      </c>
      <c r="F501">
        <v>1</v>
      </c>
      <c r="G501" s="1"/>
      <c r="H501" s="1" t="s">
        <v>387</v>
      </c>
      <c r="I501" s="1" t="s">
        <v>28</v>
      </c>
      <c r="J501" s="1" t="s">
        <v>31</v>
      </c>
      <c r="K501">
        <v>90</v>
      </c>
    </row>
    <row r="502" spans="1:11" x14ac:dyDescent="0.25">
      <c r="A502" s="18" t="str">
        <f xml:space="preserve">  MapNameLkup</f>
        <v>m_ofs_trex_ar_invoices</v>
      </c>
      <c r="B502" s="1" t="s">
        <v>97</v>
      </c>
      <c r="C502" s="1" t="s">
        <v>105</v>
      </c>
      <c r="D502" s="1" t="s">
        <v>1</v>
      </c>
      <c r="E502" s="1" t="s">
        <v>107</v>
      </c>
      <c r="F502">
        <v>1</v>
      </c>
      <c r="G502" s="1"/>
      <c r="H502" s="1" t="s">
        <v>439</v>
      </c>
      <c r="I502" s="1" t="s">
        <v>28</v>
      </c>
      <c r="J502" s="1" t="s">
        <v>31</v>
      </c>
      <c r="K502">
        <v>91</v>
      </c>
    </row>
    <row r="503" spans="1:11" x14ac:dyDescent="0.25">
      <c r="A503" s="18" t="str">
        <f xml:space="preserve">  MapNameLkup</f>
        <v>m_ofs_trex_ar_invoices</v>
      </c>
      <c r="B503" s="1" t="s">
        <v>97</v>
      </c>
      <c r="C503" s="1" t="s">
        <v>105</v>
      </c>
      <c r="D503" s="1" t="s">
        <v>1</v>
      </c>
      <c r="E503" s="1" t="s">
        <v>107</v>
      </c>
      <c r="F503">
        <v>1</v>
      </c>
      <c r="G503" s="1"/>
      <c r="H503" s="1" t="s">
        <v>440</v>
      </c>
      <c r="I503" s="1" t="s">
        <v>28</v>
      </c>
      <c r="J503" s="1" t="s">
        <v>31</v>
      </c>
      <c r="K503">
        <v>92</v>
      </c>
    </row>
    <row r="504" spans="1:11" x14ac:dyDescent="0.25">
      <c r="A504" s="18" t="str">
        <f xml:space="preserve">  MapNameLkup</f>
        <v>m_ofs_trex_ar_invoices</v>
      </c>
      <c r="B504" s="1" t="s">
        <v>97</v>
      </c>
      <c r="C504" s="1" t="s">
        <v>105</v>
      </c>
      <c r="D504" s="1" t="s">
        <v>1</v>
      </c>
      <c r="E504" s="1" t="s">
        <v>107</v>
      </c>
      <c r="F504">
        <v>1</v>
      </c>
      <c r="G504" s="1"/>
      <c r="H504" s="1" t="s">
        <v>441</v>
      </c>
      <c r="I504" s="1" t="s">
        <v>28</v>
      </c>
      <c r="J504" s="1" t="s">
        <v>31</v>
      </c>
      <c r="K504">
        <v>93</v>
      </c>
    </row>
    <row r="505" spans="1:11" x14ac:dyDescent="0.25">
      <c r="A505" s="18" t="str">
        <f xml:space="preserve">  MapNameLkup</f>
        <v>m_ofs_trex_ar_invoices</v>
      </c>
      <c r="B505" s="1" t="s">
        <v>97</v>
      </c>
      <c r="C505" s="1" t="s">
        <v>105</v>
      </c>
      <c r="D505" s="1" t="s">
        <v>1</v>
      </c>
      <c r="E505" s="1" t="s">
        <v>107</v>
      </c>
      <c r="F505">
        <v>1</v>
      </c>
      <c r="G505" s="1"/>
      <c r="H505" s="1" t="s">
        <v>442</v>
      </c>
      <c r="I505" s="1" t="s">
        <v>28</v>
      </c>
      <c r="J505" s="1" t="s">
        <v>31</v>
      </c>
      <c r="K505">
        <v>94</v>
      </c>
    </row>
    <row r="506" spans="1:11" x14ac:dyDescent="0.25">
      <c r="A506" s="18" t="str">
        <f xml:space="preserve">  MapNameLkup</f>
        <v>m_ofs_trex_ar_invoices</v>
      </c>
      <c r="B506" s="1" t="s">
        <v>97</v>
      </c>
      <c r="C506" s="1" t="s">
        <v>105</v>
      </c>
      <c r="D506" s="1" t="s">
        <v>1</v>
      </c>
      <c r="E506" s="1" t="s">
        <v>107</v>
      </c>
      <c r="F506">
        <v>1</v>
      </c>
      <c r="G506" s="1"/>
      <c r="H506" s="1" t="s">
        <v>443</v>
      </c>
      <c r="I506" s="1" t="s">
        <v>28</v>
      </c>
      <c r="J506" s="1" t="s">
        <v>31</v>
      </c>
      <c r="K506">
        <v>95</v>
      </c>
    </row>
    <row r="507" spans="1:11" x14ac:dyDescent="0.25">
      <c r="A507" s="18" t="str">
        <f xml:space="preserve">  MapNameLkup</f>
        <v>m_ofs_trex_ar_invoices</v>
      </c>
      <c r="B507" s="1" t="s">
        <v>97</v>
      </c>
      <c r="C507" s="1" t="s">
        <v>105</v>
      </c>
      <c r="D507" s="1" t="s">
        <v>1</v>
      </c>
      <c r="E507" s="1" t="s">
        <v>107</v>
      </c>
      <c r="F507">
        <v>1</v>
      </c>
      <c r="G507" s="1"/>
      <c r="H507" s="1" t="s">
        <v>444</v>
      </c>
      <c r="I507" s="1" t="s">
        <v>28</v>
      </c>
      <c r="J507" s="1" t="s">
        <v>31</v>
      </c>
      <c r="K507">
        <v>96</v>
      </c>
    </row>
    <row r="508" spans="1:11" x14ac:dyDescent="0.25">
      <c r="A508" s="18" t="str">
        <f xml:space="preserve">  MapNameLkup</f>
        <v>m_ofs_trex_ar_invoices</v>
      </c>
      <c r="B508" s="1" t="s">
        <v>97</v>
      </c>
      <c r="C508" s="1" t="s">
        <v>105</v>
      </c>
      <c r="D508" s="1" t="s">
        <v>1</v>
      </c>
      <c r="E508" s="1" t="s">
        <v>107</v>
      </c>
      <c r="F508">
        <v>1</v>
      </c>
      <c r="G508" s="1"/>
      <c r="H508" s="1" t="s">
        <v>445</v>
      </c>
      <c r="I508" s="1" t="s">
        <v>28</v>
      </c>
      <c r="J508" s="1" t="s">
        <v>31</v>
      </c>
      <c r="K508">
        <v>97</v>
      </c>
    </row>
    <row r="509" spans="1:11" x14ac:dyDescent="0.25">
      <c r="A509" s="18" t="str">
        <f xml:space="preserve">  MapNameLkup</f>
        <v>m_ofs_trex_ar_invoices</v>
      </c>
      <c r="B509" s="1" t="s">
        <v>97</v>
      </c>
      <c r="C509" s="1" t="s">
        <v>105</v>
      </c>
      <c r="D509" s="1" t="s">
        <v>1</v>
      </c>
      <c r="E509" s="1" t="s">
        <v>107</v>
      </c>
      <c r="F509">
        <v>1</v>
      </c>
      <c r="G509" s="1"/>
      <c r="H509" s="1" t="s">
        <v>446</v>
      </c>
      <c r="I509" s="1" t="s">
        <v>28</v>
      </c>
      <c r="J509" s="1" t="s">
        <v>31</v>
      </c>
      <c r="K509">
        <v>98</v>
      </c>
    </row>
    <row r="510" spans="1:11" x14ac:dyDescent="0.25">
      <c r="A510" s="18" t="str">
        <f xml:space="preserve">  MapNameLkup</f>
        <v>m_ofs_trex_ar_invoices</v>
      </c>
      <c r="B510" s="1" t="s">
        <v>97</v>
      </c>
      <c r="C510" s="1" t="s">
        <v>105</v>
      </c>
      <c r="D510" s="1" t="s">
        <v>1</v>
      </c>
      <c r="E510" s="1" t="s">
        <v>107</v>
      </c>
      <c r="F510">
        <v>1</v>
      </c>
      <c r="G510" s="1"/>
      <c r="H510" s="1" t="s">
        <v>447</v>
      </c>
      <c r="I510" s="1" t="s">
        <v>28</v>
      </c>
      <c r="J510" s="1" t="s">
        <v>31</v>
      </c>
      <c r="K510">
        <v>99</v>
      </c>
    </row>
    <row r="511" spans="1:11" x14ac:dyDescent="0.25">
      <c r="A511" s="18" t="str">
        <f xml:space="preserve">  MapNameLkup</f>
        <v>m_ofs_trex_ar_invoices</v>
      </c>
      <c r="B511" s="1" t="s">
        <v>97</v>
      </c>
      <c r="C511" s="1" t="s">
        <v>105</v>
      </c>
      <c r="D511" s="1" t="s">
        <v>1</v>
      </c>
      <c r="E511" s="1" t="s">
        <v>107</v>
      </c>
      <c r="F511">
        <v>1</v>
      </c>
      <c r="G511" s="1"/>
      <c r="H511" s="1" t="s">
        <v>448</v>
      </c>
      <c r="I511" s="1" t="s">
        <v>28</v>
      </c>
      <c r="J511" s="1" t="s">
        <v>31</v>
      </c>
      <c r="K511">
        <v>100</v>
      </c>
    </row>
    <row r="512" spans="1:11" x14ac:dyDescent="0.25">
      <c r="A512" s="18" t="str">
        <f xml:space="preserve">  MapNameLkup</f>
        <v>m_ofs_trex_ar_invoices</v>
      </c>
      <c r="B512" s="1" t="s">
        <v>97</v>
      </c>
      <c r="C512" s="1" t="s">
        <v>105</v>
      </c>
      <c r="D512" s="1" t="s">
        <v>1</v>
      </c>
      <c r="E512" s="1" t="s">
        <v>107</v>
      </c>
      <c r="F512">
        <v>1</v>
      </c>
      <c r="G512" s="1"/>
      <c r="H512" s="1" t="s">
        <v>449</v>
      </c>
      <c r="I512" s="1" t="s">
        <v>28</v>
      </c>
      <c r="J512" s="1" t="s">
        <v>31</v>
      </c>
      <c r="K512">
        <v>101</v>
      </c>
    </row>
    <row r="513" spans="1:11" x14ac:dyDescent="0.25">
      <c r="A513" s="18" t="str">
        <f xml:space="preserve">  MapNameLkup</f>
        <v>m_ofs_trex_ar_invoices</v>
      </c>
      <c r="B513" s="1" t="s">
        <v>97</v>
      </c>
      <c r="C513" s="1" t="s">
        <v>105</v>
      </c>
      <c r="D513" s="1" t="s">
        <v>1</v>
      </c>
      <c r="E513" s="1" t="s">
        <v>107</v>
      </c>
      <c r="F513">
        <v>1</v>
      </c>
      <c r="G513" s="1"/>
      <c r="H513" s="1" t="s">
        <v>450</v>
      </c>
      <c r="I513" s="1" t="s">
        <v>28</v>
      </c>
      <c r="J513" s="1" t="s">
        <v>31</v>
      </c>
      <c r="K513">
        <v>102</v>
      </c>
    </row>
    <row r="514" spans="1:11" x14ac:dyDescent="0.25">
      <c r="A514" s="18" t="str">
        <f xml:space="preserve">  MapNameLkup</f>
        <v>m_ofs_trex_ar_invoices</v>
      </c>
      <c r="B514" s="1" t="s">
        <v>97</v>
      </c>
      <c r="C514" s="1" t="s">
        <v>105</v>
      </c>
      <c r="D514" s="1" t="s">
        <v>1</v>
      </c>
      <c r="E514" s="1" t="s">
        <v>107</v>
      </c>
      <c r="F514">
        <v>1</v>
      </c>
      <c r="G514" s="1"/>
      <c r="H514" s="1" t="s">
        <v>451</v>
      </c>
      <c r="I514" s="1" t="s">
        <v>28</v>
      </c>
      <c r="J514" s="1" t="s">
        <v>31</v>
      </c>
      <c r="K514">
        <v>103</v>
      </c>
    </row>
    <row r="515" spans="1:11" x14ac:dyDescent="0.25">
      <c r="A515" s="18" t="str">
        <f xml:space="preserve">  MapNameLkup</f>
        <v>m_ofs_trex_ar_invoices</v>
      </c>
      <c r="B515" s="1" t="s">
        <v>97</v>
      </c>
      <c r="C515" s="1" t="s">
        <v>105</v>
      </c>
      <c r="D515" s="1" t="s">
        <v>1</v>
      </c>
      <c r="E515" s="1" t="s">
        <v>107</v>
      </c>
      <c r="F515">
        <v>1</v>
      </c>
      <c r="G515" s="1"/>
      <c r="H515" s="1" t="s">
        <v>452</v>
      </c>
      <c r="I515" s="1" t="s">
        <v>28</v>
      </c>
      <c r="J515" s="1" t="s">
        <v>31</v>
      </c>
      <c r="K515">
        <v>104</v>
      </c>
    </row>
    <row r="516" spans="1:11" x14ac:dyDescent="0.25">
      <c r="A516" s="18" t="str">
        <f xml:space="preserve">  MapNameLkup</f>
        <v>m_ofs_trex_ar_invoices</v>
      </c>
      <c r="B516" s="1" t="s">
        <v>97</v>
      </c>
      <c r="C516" s="1" t="s">
        <v>105</v>
      </c>
      <c r="D516" s="1" t="s">
        <v>1</v>
      </c>
      <c r="E516" s="1" t="s">
        <v>107</v>
      </c>
      <c r="F516">
        <v>1</v>
      </c>
      <c r="G516" s="1"/>
      <c r="H516" s="1" t="s">
        <v>453</v>
      </c>
      <c r="I516" s="1" t="s">
        <v>28</v>
      </c>
      <c r="J516" s="1" t="s">
        <v>31</v>
      </c>
      <c r="K516">
        <v>105</v>
      </c>
    </row>
    <row r="517" spans="1:11" x14ac:dyDescent="0.25">
      <c r="A517" s="18" t="str">
        <f xml:space="preserve">  MapNameLkup</f>
        <v>m_ofs_trex_ar_invoices</v>
      </c>
      <c r="B517" s="1" t="s">
        <v>97</v>
      </c>
      <c r="C517" s="1" t="s">
        <v>105</v>
      </c>
      <c r="D517" s="1" t="s">
        <v>1</v>
      </c>
      <c r="E517" s="1" t="s">
        <v>107</v>
      </c>
      <c r="F517">
        <v>1</v>
      </c>
      <c r="G517" s="1"/>
      <c r="H517" s="1" t="s">
        <v>454</v>
      </c>
      <c r="I517" s="1" t="s">
        <v>28</v>
      </c>
      <c r="J517" s="1" t="s">
        <v>31</v>
      </c>
      <c r="K517">
        <v>106</v>
      </c>
    </row>
    <row r="518" spans="1:11" x14ac:dyDescent="0.25">
      <c r="A518" s="18" t="str">
        <f xml:space="preserve">  MapNameLkup</f>
        <v>m_ofs_trex_ar_invoices</v>
      </c>
      <c r="B518" s="1" t="s">
        <v>97</v>
      </c>
      <c r="C518" s="1" t="s">
        <v>105</v>
      </c>
      <c r="D518" s="1" t="s">
        <v>1</v>
      </c>
      <c r="E518" s="1" t="s">
        <v>107</v>
      </c>
      <c r="F518">
        <v>1</v>
      </c>
      <c r="G518" s="1"/>
      <c r="H518" s="1" t="s">
        <v>455</v>
      </c>
      <c r="I518" s="1" t="s">
        <v>28</v>
      </c>
      <c r="J518" s="1" t="s">
        <v>31</v>
      </c>
      <c r="K518">
        <v>107</v>
      </c>
    </row>
    <row r="519" spans="1:11" x14ac:dyDescent="0.25">
      <c r="A519" s="18" t="str">
        <f xml:space="preserve">  MapNameLkup</f>
        <v>m_ofs_trex_ar_invoices</v>
      </c>
      <c r="B519" s="1" t="s">
        <v>97</v>
      </c>
      <c r="C519" s="1" t="s">
        <v>105</v>
      </c>
      <c r="D519" s="1" t="s">
        <v>1</v>
      </c>
      <c r="E519" s="1" t="s">
        <v>107</v>
      </c>
      <c r="F519">
        <v>1</v>
      </c>
      <c r="G519" s="1"/>
      <c r="H519" s="1" t="s">
        <v>456</v>
      </c>
      <c r="I519" s="1" t="s">
        <v>28</v>
      </c>
      <c r="J519" s="1" t="s">
        <v>31</v>
      </c>
      <c r="K519">
        <v>108</v>
      </c>
    </row>
    <row r="520" spans="1:11" x14ac:dyDescent="0.25">
      <c r="A520" s="18" t="str">
        <f xml:space="preserve">  MapNameLkup</f>
        <v>m_ofs_trex_ar_invoices</v>
      </c>
      <c r="B520" s="1" t="s">
        <v>97</v>
      </c>
      <c r="C520" s="1" t="s">
        <v>105</v>
      </c>
      <c r="D520" s="1" t="s">
        <v>1</v>
      </c>
      <c r="E520" s="1" t="s">
        <v>107</v>
      </c>
      <c r="F520">
        <v>1</v>
      </c>
      <c r="G520" s="1"/>
      <c r="H520" s="1" t="s">
        <v>457</v>
      </c>
      <c r="I520" s="1" t="s">
        <v>28</v>
      </c>
      <c r="J520" s="1" t="s">
        <v>31</v>
      </c>
      <c r="K520">
        <v>109</v>
      </c>
    </row>
    <row r="521" spans="1:11" x14ac:dyDescent="0.25">
      <c r="A521" s="18" t="str">
        <f xml:space="preserve">  MapNameLkup</f>
        <v>m_ofs_trex_ar_invoices</v>
      </c>
      <c r="B521" s="1" t="s">
        <v>97</v>
      </c>
      <c r="C521" s="1" t="s">
        <v>105</v>
      </c>
      <c r="D521" s="1" t="s">
        <v>1</v>
      </c>
      <c r="E521" s="1" t="s">
        <v>107</v>
      </c>
      <c r="F521">
        <v>1</v>
      </c>
      <c r="G521" s="1"/>
      <c r="H521" s="1" t="s">
        <v>458</v>
      </c>
      <c r="I521" s="1" t="s">
        <v>28</v>
      </c>
      <c r="J521" s="1" t="s">
        <v>31</v>
      </c>
      <c r="K521">
        <v>110</v>
      </c>
    </row>
    <row r="522" spans="1:11" x14ac:dyDescent="0.25">
      <c r="A522" s="18" t="str">
        <f xml:space="preserve">  MapNameLkup</f>
        <v>m_ofs_trex_ar_invoices</v>
      </c>
      <c r="B522" s="1" t="s">
        <v>97</v>
      </c>
      <c r="C522" s="1" t="s">
        <v>105</v>
      </c>
      <c r="D522" s="1" t="s">
        <v>1</v>
      </c>
      <c r="E522" s="1" t="s">
        <v>107</v>
      </c>
      <c r="F522">
        <v>1</v>
      </c>
      <c r="G522" s="1"/>
      <c r="H522" s="1" t="s">
        <v>459</v>
      </c>
      <c r="I522" s="1" t="s">
        <v>28</v>
      </c>
      <c r="J522" s="1" t="s">
        <v>31</v>
      </c>
      <c r="K522">
        <v>111</v>
      </c>
    </row>
    <row r="523" spans="1:11" x14ac:dyDescent="0.25">
      <c r="A523" s="18" t="str">
        <f xml:space="preserve">  MapNameLkup</f>
        <v>m_ofs_trex_ar_invoices</v>
      </c>
      <c r="B523" s="1" t="s">
        <v>97</v>
      </c>
      <c r="C523" s="1" t="s">
        <v>105</v>
      </c>
      <c r="D523" s="1" t="s">
        <v>1</v>
      </c>
      <c r="E523" s="1" t="s">
        <v>107</v>
      </c>
      <c r="F523">
        <v>1</v>
      </c>
      <c r="G523" s="1"/>
      <c r="H523" s="1" t="s">
        <v>460</v>
      </c>
      <c r="I523" s="1" t="s">
        <v>28</v>
      </c>
      <c r="J523" s="1" t="s">
        <v>31</v>
      </c>
      <c r="K523">
        <v>112</v>
      </c>
    </row>
    <row r="524" spans="1:11" x14ac:dyDescent="0.25">
      <c r="A524" s="18" t="str">
        <f xml:space="preserve">  MapNameLkup</f>
        <v>m_ofs_trex_ar_invoices</v>
      </c>
      <c r="B524" s="1" t="s">
        <v>97</v>
      </c>
      <c r="C524" s="1" t="s">
        <v>105</v>
      </c>
      <c r="D524" s="1" t="s">
        <v>1</v>
      </c>
      <c r="E524" s="1" t="s">
        <v>107</v>
      </c>
      <c r="F524">
        <v>1</v>
      </c>
      <c r="G524" s="1"/>
      <c r="H524" s="1" t="s">
        <v>461</v>
      </c>
      <c r="I524" s="1" t="s">
        <v>28</v>
      </c>
      <c r="J524" s="1" t="s">
        <v>31</v>
      </c>
      <c r="K524">
        <v>113</v>
      </c>
    </row>
    <row r="525" spans="1:11" x14ac:dyDescent="0.25">
      <c r="A525" s="18" t="str">
        <f xml:space="preserve">  MapNameLkup</f>
        <v>m_ofs_trex_ar_invoices</v>
      </c>
      <c r="B525" s="1" t="s">
        <v>97</v>
      </c>
      <c r="C525" s="1" t="s">
        <v>105</v>
      </c>
      <c r="D525" s="1" t="s">
        <v>1</v>
      </c>
      <c r="E525" s="1" t="s">
        <v>107</v>
      </c>
      <c r="F525">
        <v>1</v>
      </c>
      <c r="G525" s="1"/>
      <c r="H525" s="1" t="s">
        <v>462</v>
      </c>
      <c r="I525" s="1" t="s">
        <v>28</v>
      </c>
      <c r="J525" s="1" t="s">
        <v>31</v>
      </c>
      <c r="K525">
        <v>114</v>
      </c>
    </row>
    <row r="526" spans="1:11" x14ac:dyDescent="0.25">
      <c r="A526" s="18" t="str">
        <f xml:space="preserve">  MapNameLkup</f>
        <v>m_ofs_trex_ar_invoices</v>
      </c>
      <c r="B526" s="1" t="s">
        <v>97</v>
      </c>
      <c r="C526" s="1" t="s">
        <v>105</v>
      </c>
      <c r="D526" s="1" t="s">
        <v>1</v>
      </c>
      <c r="E526" s="1" t="s">
        <v>107</v>
      </c>
      <c r="F526">
        <v>1</v>
      </c>
      <c r="G526" s="1"/>
      <c r="H526" s="1" t="s">
        <v>463</v>
      </c>
      <c r="I526" s="1" t="s">
        <v>28</v>
      </c>
      <c r="J526" s="1" t="s">
        <v>31</v>
      </c>
      <c r="K526">
        <v>115</v>
      </c>
    </row>
    <row r="527" spans="1:11" x14ac:dyDescent="0.25">
      <c r="A527" s="18" t="str">
        <f xml:space="preserve">  MapNameLkup</f>
        <v>m_ofs_trex_ar_invoices</v>
      </c>
      <c r="B527" s="1" t="s">
        <v>97</v>
      </c>
      <c r="C527" s="1" t="s">
        <v>105</v>
      </c>
      <c r="D527" s="1" t="s">
        <v>1</v>
      </c>
      <c r="E527" s="1" t="s">
        <v>107</v>
      </c>
      <c r="F527">
        <v>1</v>
      </c>
      <c r="G527" s="1"/>
      <c r="H527" s="1" t="s">
        <v>464</v>
      </c>
      <c r="I527" s="1" t="s">
        <v>28</v>
      </c>
      <c r="J527" s="1" t="s">
        <v>31</v>
      </c>
      <c r="K527">
        <v>116</v>
      </c>
    </row>
    <row r="528" spans="1:11" x14ac:dyDescent="0.25">
      <c r="A528" s="18" t="str">
        <f xml:space="preserve">  MapNameLkup</f>
        <v>m_ofs_trex_ar_invoices</v>
      </c>
      <c r="B528" s="1" t="s">
        <v>97</v>
      </c>
      <c r="C528" s="1" t="s">
        <v>105</v>
      </c>
      <c r="D528" s="1" t="s">
        <v>1</v>
      </c>
      <c r="E528" s="1" t="s">
        <v>107</v>
      </c>
      <c r="F528">
        <v>1</v>
      </c>
      <c r="G528" s="1"/>
      <c r="H528" s="1" t="s">
        <v>465</v>
      </c>
      <c r="I528" s="1" t="s">
        <v>28</v>
      </c>
      <c r="J528" s="1" t="s">
        <v>31</v>
      </c>
      <c r="K528">
        <v>117</v>
      </c>
    </row>
    <row r="529" spans="1:11" x14ac:dyDescent="0.25">
      <c r="A529" s="18" t="str">
        <f xml:space="preserve">  MapNameLkup</f>
        <v>m_ofs_trex_ar_invoices</v>
      </c>
      <c r="B529" s="1" t="s">
        <v>97</v>
      </c>
      <c r="C529" s="1" t="s">
        <v>105</v>
      </c>
      <c r="D529" s="1" t="s">
        <v>1</v>
      </c>
      <c r="E529" s="1" t="s">
        <v>107</v>
      </c>
      <c r="F529">
        <v>1</v>
      </c>
      <c r="G529" s="1"/>
      <c r="H529" s="1" t="s">
        <v>466</v>
      </c>
      <c r="I529" s="1" t="s">
        <v>28</v>
      </c>
      <c r="J529" s="1" t="s">
        <v>31</v>
      </c>
      <c r="K529">
        <v>118</v>
      </c>
    </row>
    <row r="530" spans="1:11" x14ac:dyDescent="0.25">
      <c r="A530" s="18" t="str">
        <f xml:space="preserve">  MapNameLkup</f>
        <v>m_ofs_trex_ar_invoices</v>
      </c>
      <c r="B530" s="1" t="s">
        <v>97</v>
      </c>
      <c r="C530" s="1" t="s">
        <v>105</v>
      </c>
      <c r="D530" s="1" t="s">
        <v>1</v>
      </c>
      <c r="E530" s="1" t="s">
        <v>107</v>
      </c>
      <c r="F530">
        <v>1</v>
      </c>
      <c r="G530" s="1"/>
      <c r="H530" s="1" t="s">
        <v>467</v>
      </c>
      <c r="I530" s="1" t="s">
        <v>28</v>
      </c>
      <c r="J530" s="1" t="s">
        <v>31</v>
      </c>
      <c r="K530">
        <v>119</v>
      </c>
    </row>
    <row r="531" spans="1:11" x14ac:dyDescent="0.25">
      <c r="A531" s="18" t="str">
        <f xml:space="preserve">  MapNameLkup</f>
        <v>m_ofs_trex_ar_invoices</v>
      </c>
      <c r="B531" s="1" t="s">
        <v>97</v>
      </c>
      <c r="C531" s="1" t="s">
        <v>105</v>
      </c>
      <c r="D531" s="1" t="s">
        <v>1</v>
      </c>
      <c r="E531" s="1" t="s">
        <v>107</v>
      </c>
      <c r="F531">
        <v>1</v>
      </c>
      <c r="G531" s="1"/>
      <c r="H531" s="1" t="s">
        <v>468</v>
      </c>
      <c r="I531" s="1" t="s">
        <v>28</v>
      </c>
      <c r="J531" s="1" t="s">
        <v>31</v>
      </c>
      <c r="K531">
        <v>120</v>
      </c>
    </row>
    <row r="532" spans="1:11" x14ac:dyDescent="0.25">
      <c r="A532" s="18" t="str">
        <f xml:space="preserve">  MapNameLkup</f>
        <v>m_ofs_trex_ar_invoices</v>
      </c>
      <c r="B532" s="1" t="s">
        <v>97</v>
      </c>
      <c r="C532" s="1" t="s">
        <v>105</v>
      </c>
      <c r="D532" s="1" t="s">
        <v>1</v>
      </c>
      <c r="E532" s="1" t="s">
        <v>107</v>
      </c>
      <c r="F532">
        <v>1</v>
      </c>
      <c r="G532" s="1"/>
      <c r="H532" s="1" t="s">
        <v>469</v>
      </c>
      <c r="I532" s="1" t="s">
        <v>28</v>
      </c>
      <c r="J532" s="1" t="s">
        <v>31</v>
      </c>
      <c r="K532">
        <v>121</v>
      </c>
    </row>
    <row r="533" spans="1:11" x14ac:dyDescent="0.25">
      <c r="A533" s="18" t="str">
        <f xml:space="preserve">  MapNameLkup</f>
        <v>m_ofs_trex_ar_invoices</v>
      </c>
      <c r="B533" s="1" t="s">
        <v>97</v>
      </c>
      <c r="C533" s="1" t="s">
        <v>105</v>
      </c>
      <c r="D533" s="1" t="s">
        <v>1</v>
      </c>
      <c r="E533" s="1" t="s">
        <v>107</v>
      </c>
      <c r="F533">
        <v>1</v>
      </c>
      <c r="G533" s="1"/>
      <c r="H533" s="1" t="s">
        <v>470</v>
      </c>
      <c r="I533" s="1" t="s">
        <v>28</v>
      </c>
      <c r="J533" s="1" t="s">
        <v>31</v>
      </c>
      <c r="K533">
        <v>122</v>
      </c>
    </row>
    <row r="534" spans="1:11" x14ac:dyDescent="0.25">
      <c r="A534" s="18" t="str">
        <f xml:space="preserve">  MapNameLkup</f>
        <v>m_ofs_trex_ar_invoices</v>
      </c>
      <c r="B534" s="1" t="s">
        <v>97</v>
      </c>
      <c r="C534" s="1" t="s">
        <v>105</v>
      </c>
      <c r="D534" s="1" t="s">
        <v>1</v>
      </c>
      <c r="E534" s="1" t="s">
        <v>107</v>
      </c>
      <c r="F534">
        <v>1</v>
      </c>
      <c r="G534" s="1"/>
      <c r="H534" s="1" t="s">
        <v>471</v>
      </c>
      <c r="I534" s="1" t="s">
        <v>28</v>
      </c>
      <c r="J534" s="1" t="s">
        <v>31</v>
      </c>
      <c r="K534">
        <v>123</v>
      </c>
    </row>
    <row r="535" spans="1:11" x14ac:dyDescent="0.25">
      <c r="A535" s="18" t="str">
        <f xml:space="preserve">  MapNameLkup</f>
        <v>m_ofs_trex_ar_invoices</v>
      </c>
      <c r="B535" s="1" t="s">
        <v>97</v>
      </c>
      <c r="C535" s="1" t="s">
        <v>105</v>
      </c>
      <c r="D535" s="1" t="s">
        <v>1</v>
      </c>
      <c r="E535" s="1" t="s">
        <v>107</v>
      </c>
      <c r="F535">
        <v>1</v>
      </c>
      <c r="G535" s="1"/>
      <c r="H535" s="1" t="s">
        <v>472</v>
      </c>
      <c r="I535" s="1" t="s">
        <v>28</v>
      </c>
      <c r="J535" s="1" t="s">
        <v>31</v>
      </c>
      <c r="K535">
        <v>124</v>
      </c>
    </row>
    <row r="536" spans="1:11" x14ac:dyDescent="0.25">
      <c r="A536" s="18" t="str">
        <f xml:space="preserve">  MapNameLkup</f>
        <v>m_ofs_trex_ar_invoices</v>
      </c>
      <c r="B536" s="1" t="s">
        <v>97</v>
      </c>
      <c r="C536" s="1" t="s">
        <v>105</v>
      </c>
      <c r="D536" s="1" t="s">
        <v>1</v>
      </c>
      <c r="E536" s="1" t="s">
        <v>107</v>
      </c>
      <c r="F536">
        <v>1</v>
      </c>
      <c r="G536" s="1"/>
      <c r="H536" s="1" t="s">
        <v>473</v>
      </c>
      <c r="I536" s="1" t="s">
        <v>28</v>
      </c>
      <c r="J536" s="1" t="s">
        <v>31</v>
      </c>
      <c r="K536">
        <v>125</v>
      </c>
    </row>
    <row r="537" spans="1:11" x14ac:dyDescent="0.25">
      <c r="A537" s="18" t="str">
        <f xml:space="preserve">  MapNameLkup</f>
        <v>m_ofs_trex_ar_invoices</v>
      </c>
      <c r="B537" s="1" t="s">
        <v>97</v>
      </c>
      <c r="C537" s="1" t="s">
        <v>105</v>
      </c>
      <c r="D537" s="1" t="s">
        <v>1</v>
      </c>
      <c r="E537" s="1" t="s">
        <v>107</v>
      </c>
      <c r="F537">
        <v>1</v>
      </c>
      <c r="G537" s="1"/>
      <c r="H537" s="1" t="s">
        <v>474</v>
      </c>
      <c r="I537" s="1" t="s">
        <v>28</v>
      </c>
      <c r="J537" s="1" t="s">
        <v>31</v>
      </c>
      <c r="K537">
        <v>126</v>
      </c>
    </row>
    <row r="538" spans="1:11" x14ac:dyDescent="0.25">
      <c r="A538" s="18" t="str">
        <f xml:space="preserve">  MapNameLkup</f>
        <v>m_ofs_trex_ar_invoices</v>
      </c>
      <c r="B538" s="1" t="s">
        <v>97</v>
      </c>
      <c r="C538" s="1" t="s">
        <v>105</v>
      </c>
      <c r="D538" s="1" t="s">
        <v>1</v>
      </c>
      <c r="E538" s="1" t="s">
        <v>107</v>
      </c>
      <c r="F538">
        <v>1</v>
      </c>
      <c r="G538" s="1"/>
      <c r="H538" s="1" t="s">
        <v>475</v>
      </c>
      <c r="I538" s="1" t="s">
        <v>28</v>
      </c>
      <c r="J538" s="1" t="s">
        <v>31</v>
      </c>
      <c r="K538">
        <v>127</v>
      </c>
    </row>
    <row r="539" spans="1:11" x14ac:dyDescent="0.25">
      <c r="A539" s="18" t="str">
        <f xml:space="preserve">  MapNameLkup</f>
        <v>m_ofs_trex_ar_invoices</v>
      </c>
      <c r="B539" s="1" t="s">
        <v>97</v>
      </c>
      <c r="C539" s="1" t="s">
        <v>105</v>
      </c>
      <c r="D539" s="1" t="s">
        <v>1</v>
      </c>
      <c r="E539" s="1" t="s">
        <v>107</v>
      </c>
      <c r="F539">
        <v>1</v>
      </c>
      <c r="G539" s="1"/>
      <c r="H539" s="1" t="s">
        <v>476</v>
      </c>
      <c r="I539" s="1" t="s">
        <v>28</v>
      </c>
      <c r="J539" s="1" t="s">
        <v>31</v>
      </c>
      <c r="K539">
        <v>128</v>
      </c>
    </row>
    <row r="540" spans="1:11" x14ac:dyDescent="0.25">
      <c r="A540" s="18" t="str">
        <f xml:space="preserve">  MapNameLkup</f>
        <v>m_ofs_trex_ar_invoices</v>
      </c>
      <c r="B540" s="1" t="s">
        <v>97</v>
      </c>
      <c r="C540" s="1" t="s">
        <v>105</v>
      </c>
      <c r="D540" s="1" t="s">
        <v>1</v>
      </c>
      <c r="E540" s="1" t="s">
        <v>107</v>
      </c>
      <c r="F540">
        <v>1</v>
      </c>
      <c r="G540" s="1"/>
      <c r="H540" s="1" t="s">
        <v>477</v>
      </c>
      <c r="I540" s="1" t="s">
        <v>28</v>
      </c>
      <c r="J540" s="1" t="s">
        <v>31</v>
      </c>
      <c r="K540">
        <v>129</v>
      </c>
    </row>
    <row r="541" spans="1:11" x14ac:dyDescent="0.25">
      <c r="A541" s="18" t="str">
        <f xml:space="preserve">  MapNameLkup</f>
        <v>m_ofs_trex_ar_invoices</v>
      </c>
      <c r="B541" s="1" t="s">
        <v>97</v>
      </c>
      <c r="C541" s="1" t="s">
        <v>105</v>
      </c>
      <c r="D541" s="1" t="s">
        <v>1</v>
      </c>
      <c r="E541" s="1" t="s">
        <v>107</v>
      </c>
      <c r="F541">
        <v>1</v>
      </c>
      <c r="G541" s="1"/>
      <c r="H541" s="1" t="s">
        <v>478</v>
      </c>
      <c r="I541" s="1" t="s">
        <v>28</v>
      </c>
      <c r="J541" s="1" t="s">
        <v>31</v>
      </c>
      <c r="K541">
        <v>130</v>
      </c>
    </row>
    <row r="542" spans="1:11" x14ac:dyDescent="0.25">
      <c r="A542" s="18" t="str">
        <f xml:space="preserve">  MapNameLkup</f>
        <v>m_ofs_trex_ar_invoices</v>
      </c>
      <c r="B542" s="1" t="s">
        <v>97</v>
      </c>
      <c r="C542" s="1" t="s">
        <v>105</v>
      </c>
      <c r="D542" s="1" t="s">
        <v>1</v>
      </c>
      <c r="E542" s="1" t="s">
        <v>107</v>
      </c>
      <c r="F542">
        <v>1</v>
      </c>
      <c r="G542" s="1"/>
      <c r="H542" s="1" t="s">
        <v>479</v>
      </c>
      <c r="I542" s="1" t="s">
        <v>28</v>
      </c>
      <c r="J542" s="1" t="s">
        <v>31</v>
      </c>
      <c r="K542">
        <v>131</v>
      </c>
    </row>
    <row r="543" spans="1:11" x14ac:dyDescent="0.25">
      <c r="A543" s="18" t="str">
        <f xml:space="preserve">  MapNameLkup</f>
        <v>m_ofs_trex_ar_invoices</v>
      </c>
      <c r="B543" s="1" t="s">
        <v>97</v>
      </c>
      <c r="C543" s="1" t="s">
        <v>105</v>
      </c>
      <c r="D543" s="1" t="s">
        <v>1</v>
      </c>
      <c r="E543" s="1" t="s">
        <v>107</v>
      </c>
      <c r="F543">
        <v>1</v>
      </c>
      <c r="G543" s="1"/>
      <c r="H543" s="1" t="s">
        <v>480</v>
      </c>
      <c r="I543" s="1" t="s">
        <v>28</v>
      </c>
      <c r="J543" s="1" t="s">
        <v>31</v>
      </c>
      <c r="K543">
        <v>132</v>
      </c>
    </row>
    <row r="544" spans="1:11" x14ac:dyDescent="0.25">
      <c r="A544" s="18" t="str">
        <f xml:space="preserve">  MapNameLkup</f>
        <v>m_ofs_trex_ar_invoices</v>
      </c>
      <c r="B544" s="1" t="s">
        <v>97</v>
      </c>
      <c r="C544" s="1" t="s">
        <v>105</v>
      </c>
      <c r="D544" s="1" t="s">
        <v>1</v>
      </c>
      <c r="E544" s="1" t="s">
        <v>107</v>
      </c>
      <c r="F544">
        <v>1</v>
      </c>
      <c r="G544" s="1"/>
      <c r="H544" s="1" t="s">
        <v>481</v>
      </c>
      <c r="I544" s="1" t="s">
        <v>28</v>
      </c>
      <c r="J544" s="1" t="s">
        <v>31</v>
      </c>
      <c r="K544">
        <v>133</v>
      </c>
    </row>
    <row r="545" spans="1:11" x14ac:dyDescent="0.25">
      <c r="A545" s="18" t="str">
        <f xml:space="preserve">  MapNameLkup</f>
        <v>m_ofs_trex_ar_invoices</v>
      </c>
      <c r="B545" s="1" t="s">
        <v>97</v>
      </c>
      <c r="C545" s="1" t="s">
        <v>105</v>
      </c>
      <c r="D545" s="1" t="s">
        <v>1</v>
      </c>
      <c r="E545" s="1" t="s">
        <v>107</v>
      </c>
      <c r="F545">
        <v>1</v>
      </c>
      <c r="G545" s="1"/>
      <c r="H545" s="1" t="s">
        <v>482</v>
      </c>
      <c r="I545" s="1" t="s">
        <v>28</v>
      </c>
      <c r="J545" s="1" t="s">
        <v>31</v>
      </c>
      <c r="K545">
        <v>134</v>
      </c>
    </row>
    <row r="546" spans="1:11" x14ac:dyDescent="0.25">
      <c r="A546" s="18" t="str">
        <f xml:space="preserve">  MapNameLkup</f>
        <v>m_ofs_trex_ar_invoices</v>
      </c>
      <c r="B546" s="1" t="s">
        <v>98</v>
      </c>
      <c r="C546" s="1" t="s">
        <v>105</v>
      </c>
      <c r="D546" s="1" t="s">
        <v>1</v>
      </c>
      <c r="E546" s="1" t="s">
        <v>107</v>
      </c>
      <c r="F546">
        <v>1</v>
      </c>
      <c r="G546" s="1"/>
      <c r="H546" s="1" t="s">
        <v>323</v>
      </c>
      <c r="I546" s="1" t="s">
        <v>28</v>
      </c>
      <c r="J546" s="1" t="s">
        <v>32</v>
      </c>
      <c r="K546">
        <v>1</v>
      </c>
    </row>
    <row r="547" spans="1:11" x14ac:dyDescent="0.25">
      <c r="A547" s="18" t="str">
        <f xml:space="preserve">  MapNameLkup</f>
        <v>m_ofs_trex_ar_invoices</v>
      </c>
      <c r="B547" s="1" t="s">
        <v>98</v>
      </c>
      <c r="C547" s="1" t="s">
        <v>105</v>
      </c>
      <c r="D547" s="1" t="s">
        <v>1</v>
      </c>
      <c r="E547" s="1" t="s">
        <v>107</v>
      </c>
      <c r="F547">
        <v>1</v>
      </c>
      <c r="G547" s="1"/>
      <c r="H547" s="1" t="s">
        <v>154</v>
      </c>
      <c r="I547" s="1" t="s">
        <v>28</v>
      </c>
      <c r="J547" s="1" t="s">
        <v>32</v>
      </c>
      <c r="K547">
        <v>2</v>
      </c>
    </row>
    <row r="548" spans="1:11" x14ac:dyDescent="0.25">
      <c r="A548" s="18" t="str">
        <f xml:space="preserve">  MapNameLkup</f>
        <v>m_ofs_trex_ar_invoices</v>
      </c>
      <c r="B548" s="1" t="s">
        <v>98</v>
      </c>
      <c r="C548" s="1" t="s">
        <v>105</v>
      </c>
      <c r="D548" s="1" t="s">
        <v>1</v>
      </c>
      <c r="E548" s="1" t="s">
        <v>107</v>
      </c>
      <c r="F548">
        <v>1</v>
      </c>
      <c r="G548" s="1"/>
      <c r="H548" s="1" t="s">
        <v>155</v>
      </c>
      <c r="I548" s="1" t="s">
        <v>28</v>
      </c>
      <c r="J548" s="1" t="s">
        <v>32</v>
      </c>
      <c r="K548">
        <v>3</v>
      </c>
    </row>
    <row r="549" spans="1:11" x14ac:dyDescent="0.25">
      <c r="A549" s="18" t="str">
        <f xml:space="preserve">  MapNameLkup</f>
        <v>m_ofs_trex_ar_invoices</v>
      </c>
      <c r="B549" s="1" t="s">
        <v>98</v>
      </c>
      <c r="C549" s="1" t="s">
        <v>105</v>
      </c>
      <c r="D549" s="1" t="s">
        <v>1</v>
      </c>
      <c r="E549" s="1" t="s">
        <v>107</v>
      </c>
      <c r="F549">
        <v>1</v>
      </c>
      <c r="G549" s="1"/>
      <c r="H549" s="1" t="s">
        <v>156</v>
      </c>
      <c r="I549" s="1" t="s">
        <v>28</v>
      </c>
      <c r="J549" s="1" t="s">
        <v>32</v>
      </c>
      <c r="K549">
        <v>4</v>
      </c>
    </row>
    <row r="550" spans="1:11" x14ac:dyDescent="0.25">
      <c r="A550" s="18" t="str">
        <f xml:space="preserve">  MapNameLkup</f>
        <v>m_ofs_trex_ar_invoices</v>
      </c>
      <c r="B550" s="1" t="s">
        <v>98</v>
      </c>
      <c r="C550" s="1" t="s">
        <v>105</v>
      </c>
      <c r="D550" s="1" t="s">
        <v>1</v>
      </c>
      <c r="E550" s="1" t="s">
        <v>107</v>
      </c>
      <c r="F550">
        <v>1</v>
      </c>
      <c r="G550" s="1"/>
      <c r="H550" s="1" t="s">
        <v>157</v>
      </c>
      <c r="I550" s="1" t="s">
        <v>28</v>
      </c>
      <c r="J550" s="1" t="s">
        <v>32</v>
      </c>
      <c r="K550">
        <v>5</v>
      </c>
    </row>
    <row r="551" spans="1:11" x14ac:dyDescent="0.25">
      <c r="A551" s="18" t="str">
        <f xml:space="preserve">  MapNameLkup</f>
        <v>m_ofs_trex_ar_invoices</v>
      </c>
      <c r="B551" s="1" t="s">
        <v>98</v>
      </c>
      <c r="C551" s="1" t="s">
        <v>105</v>
      </c>
      <c r="D551" s="1" t="s">
        <v>1</v>
      </c>
      <c r="E551" s="1" t="s">
        <v>107</v>
      </c>
      <c r="F551">
        <v>1</v>
      </c>
      <c r="G551" s="1"/>
      <c r="H551" s="1" t="s">
        <v>158</v>
      </c>
      <c r="I551" s="1" t="s">
        <v>28</v>
      </c>
      <c r="J551" s="1" t="s">
        <v>31</v>
      </c>
      <c r="K551">
        <v>6</v>
      </c>
    </row>
    <row r="552" spans="1:11" x14ac:dyDescent="0.25">
      <c r="A552" s="18" t="str">
        <f xml:space="preserve">  MapNameLkup</f>
        <v>m_ofs_trex_ar_invoices</v>
      </c>
      <c r="B552" s="1" t="s">
        <v>98</v>
      </c>
      <c r="C552" s="1" t="s">
        <v>105</v>
      </c>
      <c r="D552" s="1" t="s">
        <v>1</v>
      </c>
      <c r="E552" s="1" t="s">
        <v>107</v>
      </c>
      <c r="F552">
        <v>1</v>
      </c>
      <c r="G552" s="1"/>
      <c r="H552" s="1" t="s">
        <v>483</v>
      </c>
      <c r="I552" s="1" t="s">
        <v>28</v>
      </c>
      <c r="J552" s="1" t="s">
        <v>32</v>
      </c>
      <c r="K552">
        <v>7</v>
      </c>
    </row>
    <row r="553" spans="1:11" x14ac:dyDescent="0.25">
      <c r="A553" s="18" t="str">
        <f xml:space="preserve">  MapNameLkup</f>
        <v>m_ofs_trex_ar_invoices</v>
      </c>
      <c r="B553" s="1" t="s">
        <v>98</v>
      </c>
      <c r="C553" s="1" t="s">
        <v>105</v>
      </c>
      <c r="D553" s="1" t="s">
        <v>1</v>
      </c>
      <c r="E553" s="1" t="s">
        <v>107</v>
      </c>
      <c r="F553">
        <v>1</v>
      </c>
      <c r="G553" s="1"/>
      <c r="H553" s="1" t="s">
        <v>484</v>
      </c>
      <c r="I553" s="1" t="s">
        <v>28</v>
      </c>
      <c r="J553" s="1" t="s">
        <v>32</v>
      </c>
      <c r="K553">
        <v>8</v>
      </c>
    </row>
    <row r="554" spans="1:11" x14ac:dyDescent="0.25">
      <c r="A554" s="18" t="str">
        <f xml:space="preserve">  MapNameLkup</f>
        <v>m_ofs_trex_ar_invoices</v>
      </c>
      <c r="B554" s="1" t="s">
        <v>98</v>
      </c>
      <c r="C554" s="1" t="s">
        <v>105</v>
      </c>
      <c r="D554" s="1" t="s">
        <v>1</v>
      </c>
      <c r="E554" s="1" t="s">
        <v>107</v>
      </c>
      <c r="F554">
        <v>1</v>
      </c>
      <c r="G554" s="1"/>
      <c r="H554" s="1" t="s">
        <v>485</v>
      </c>
      <c r="I554" s="1" t="s">
        <v>28</v>
      </c>
      <c r="J554" s="1" t="s">
        <v>31</v>
      </c>
      <c r="K554">
        <v>9</v>
      </c>
    </row>
    <row r="555" spans="1:11" x14ac:dyDescent="0.25">
      <c r="A555" s="18" t="str">
        <f xml:space="preserve">  MapNameLkup</f>
        <v>m_ofs_trex_ar_invoices</v>
      </c>
      <c r="B555" s="1" t="s">
        <v>98</v>
      </c>
      <c r="C555" s="1" t="s">
        <v>105</v>
      </c>
      <c r="D555" s="1" t="s">
        <v>1</v>
      </c>
      <c r="E555" s="1" t="s">
        <v>107</v>
      </c>
      <c r="F555">
        <v>1</v>
      </c>
      <c r="G555" s="1"/>
      <c r="H555" s="1" t="s">
        <v>160</v>
      </c>
      <c r="I555" s="1" t="s">
        <v>28</v>
      </c>
      <c r="J555" s="1" t="s">
        <v>31</v>
      </c>
      <c r="K555">
        <v>10</v>
      </c>
    </row>
    <row r="556" spans="1:11" x14ac:dyDescent="0.25">
      <c r="A556" s="18" t="str">
        <f xml:space="preserve">  MapNameLkup</f>
        <v>m_ofs_trex_ar_invoices</v>
      </c>
      <c r="B556" s="1" t="s">
        <v>98</v>
      </c>
      <c r="C556" s="1" t="s">
        <v>105</v>
      </c>
      <c r="D556" s="1" t="s">
        <v>1</v>
      </c>
      <c r="E556" s="1" t="s">
        <v>107</v>
      </c>
      <c r="F556">
        <v>1</v>
      </c>
      <c r="G556" s="1"/>
      <c r="H556" s="1" t="s">
        <v>3</v>
      </c>
      <c r="I556" s="1" t="s">
        <v>28</v>
      </c>
      <c r="J556" s="1" t="s">
        <v>31</v>
      </c>
      <c r="K556">
        <v>11</v>
      </c>
    </row>
    <row r="557" spans="1:11" x14ac:dyDescent="0.25">
      <c r="A557" s="18" t="str">
        <f xml:space="preserve">  MapNameLkup</f>
        <v>m_ofs_trex_ar_invoices</v>
      </c>
      <c r="B557" s="1" t="s">
        <v>98</v>
      </c>
      <c r="C557" s="1" t="s">
        <v>105</v>
      </c>
      <c r="D557" s="1" t="s">
        <v>1</v>
      </c>
      <c r="E557" s="1" t="s">
        <v>107</v>
      </c>
      <c r="F557">
        <v>1</v>
      </c>
      <c r="G557" s="1"/>
      <c r="H557" s="1" t="s">
        <v>2</v>
      </c>
      <c r="I557" s="1" t="s">
        <v>28</v>
      </c>
      <c r="J557" s="1" t="s">
        <v>31</v>
      </c>
      <c r="K557">
        <v>12</v>
      </c>
    </row>
    <row r="558" spans="1:11" x14ac:dyDescent="0.25">
      <c r="A558" s="18" t="str">
        <f xml:space="preserve">  MapNameLkup</f>
        <v>m_ofs_trex_ar_invoices</v>
      </c>
      <c r="B558" s="1" t="s">
        <v>98</v>
      </c>
      <c r="C558" s="1" t="s">
        <v>105</v>
      </c>
      <c r="D558" s="1" t="s">
        <v>1</v>
      </c>
      <c r="E558" s="1" t="s">
        <v>107</v>
      </c>
      <c r="F558">
        <v>1</v>
      </c>
      <c r="G558" s="1"/>
      <c r="H558" s="1" t="s">
        <v>5</v>
      </c>
      <c r="I558" s="1" t="s">
        <v>28</v>
      </c>
      <c r="J558" s="1" t="s">
        <v>31</v>
      </c>
      <c r="K558">
        <v>13</v>
      </c>
    </row>
    <row r="559" spans="1:11" x14ac:dyDescent="0.25">
      <c r="A559" s="18" t="str">
        <f xml:space="preserve">  MapNameLkup</f>
        <v>m_ofs_trex_ar_invoices</v>
      </c>
      <c r="B559" s="1" t="s">
        <v>98</v>
      </c>
      <c r="C559" s="1" t="s">
        <v>105</v>
      </c>
      <c r="D559" s="1" t="s">
        <v>1</v>
      </c>
      <c r="E559" s="1" t="s">
        <v>107</v>
      </c>
      <c r="F559">
        <v>1</v>
      </c>
      <c r="G559" s="1"/>
      <c r="H559" s="1" t="s">
        <v>486</v>
      </c>
      <c r="I559" s="1" t="s">
        <v>28</v>
      </c>
      <c r="J559" s="1" t="s">
        <v>31</v>
      </c>
      <c r="K559">
        <v>14</v>
      </c>
    </row>
    <row r="560" spans="1:11" x14ac:dyDescent="0.25">
      <c r="A560" s="18" t="str">
        <f xml:space="preserve">  MapNameLkup</f>
        <v>m_ofs_trex_ar_invoices</v>
      </c>
      <c r="B560" s="1" t="s">
        <v>98</v>
      </c>
      <c r="C560" s="1" t="s">
        <v>105</v>
      </c>
      <c r="D560" s="1" t="s">
        <v>1</v>
      </c>
      <c r="E560" s="1" t="s">
        <v>107</v>
      </c>
      <c r="F560">
        <v>1</v>
      </c>
      <c r="G560" s="1"/>
      <c r="H560" s="1" t="s">
        <v>487</v>
      </c>
      <c r="I560" s="1" t="s">
        <v>28</v>
      </c>
      <c r="J560" s="1" t="s">
        <v>32</v>
      </c>
      <c r="K560">
        <v>15</v>
      </c>
    </row>
    <row r="561" spans="1:11" x14ac:dyDescent="0.25">
      <c r="A561" s="18" t="str">
        <f xml:space="preserve">  MapNameLkup</f>
        <v>m_ofs_trex_ar_invoices</v>
      </c>
      <c r="B561" s="1" t="s">
        <v>98</v>
      </c>
      <c r="C561" s="1" t="s">
        <v>105</v>
      </c>
      <c r="D561" s="1" t="s">
        <v>1</v>
      </c>
      <c r="E561" s="1" t="s">
        <v>107</v>
      </c>
      <c r="F561">
        <v>1</v>
      </c>
      <c r="G561" s="1"/>
      <c r="H561" s="1" t="s">
        <v>488</v>
      </c>
      <c r="I561" s="1" t="s">
        <v>28</v>
      </c>
      <c r="J561" s="1" t="s">
        <v>32</v>
      </c>
      <c r="K561">
        <v>16</v>
      </c>
    </row>
    <row r="562" spans="1:11" x14ac:dyDescent="0.25">
      <c r="A562" s="18" t="str">
        <f xml:space="preserve">  MapNameLkup</f>
        <v>m_ofs_trex_ar_invoices</v>
      </c>
      <c r="B562" s="1" t="s">
        <v>98</v>
      </c>
      <c r="C562" s="1" t="s">
        <v>105</v>
      </c>
      <c r="D562" s="1" t="s">
        <v>1</v>
      </c>
      <c r="E562" s="1" t="s">
        <v>107</v>
      </c>
      <c r="F562">
        <v>1</v>
      </c>
      <c r="G562" s="1"/>
      <c r="H562" s="1" t="s">
        <v>489</v>
      </c>
      <c r="I562" s="1" t="s">
        <v>28</v>
      </c>
      <c r="J562" s="1" t="s">
        <v>31</v>
      </c>
      <c r="K562">
        <v>17</v>
      </c>
    </row>
    <row r="563" spans="1:11" x14ac:dyDescent="0.25">
      <c r="A563" s="18" t="str">
        <f xml:space="preserve">  MapNameLkup</f>
        <v>m_ofs_trex_ar_invoices</v>
      </c>
      <c r="B563" s="1" t="s">
        <v>98</v>
      </c>
      <c r="C563" s="1" t="s">
        <v>105</v>
      </c>
      <c r="D563" s="1" t="s">
        <v>1</v>
      </c>
      <c r="E563" s="1" t="s">
        <v>107</v>
      </c>
      <c r="F563">
        <v>1</v>
      </c>
      <c r="G563" s="1"/>
      <c r="H563" s="1" t="s">
        <v>490</v>
      </c>
      <c r="I563" s="1" t="s">
        <v>28</v>
      </c>
      <c r="J563" s="1" t="s">
        <v>31</v>
      </c>
      <c r="K563">
        <v>18</v>
      </c>
    </row>
    <row r="564" spans="1:11" x14ac:dyDescent="0.25">
      <c r="A564" s="18" t="str">
        <f xml:space="preserve">  MapNameLkup</f>
        <v>m_ofs_trex_ar_invoices</v>
      </c>
      <c r="B564" s="1" t="s">
        <v>98</v>
      </c>
      <c r="C564" s="1" t="s">
        <v>105</v>
      </c>
      <c r="D564" s="1" t="s">
        <v>1</v>
      </c>
      <c r="E564" s="1" t="s">
        <v>107</v>
      </c>
      <c r="F564">
        <v>1</v>
      </c>
      <c r="G564" s="1"/>
      <c r="H564" s="1" t="s">
        <v>491</v>
      </c>
      <c r="I564" s="1" t="s">
        <v>28</v>
      </c>
      <c r="J564" s="1" t="s">
        <v>31</v>
      </c>
      <c r="K564">
        <v>19</v>
      </c>
    </row>
    <row r="565" spans="1:11" x14ac:dyDescent="0.25">
      <c r="A565" s="18" t="str">
        <f xml:space="preserve">  MapNameLkup</f>
        <v>m_ofs_trex_ar_invoices</v>
      </c>
      <c r="B565" s="1" t="s">
        <v>98</v>
      </c>
      <c r="C565" s="1" t="s">
        <v>105</v>
      </c>
      <c r="D565" s="1" t="s">
        <v>1</v>
      </c>
      <c r="E565" s="1" t="s">
        <v>107</v>
      </c>
      <c r="F565">
        <v>1</v>
      </c>
      <c r="G565" s="1"/>
      <c r="H565" s="1" t="s">
        <v>492</v>
      </c>
      <c r="I565" s="1" t="s">
        <v>28</v>
      </c>
      <c r="J565" s="1" t="s">
        <v>31</v>
      </c>
      <c r="K565">
        <v>20</v>
      </c>
    </row>
    <row r="566" spans="1:11" x14ac:dyDescent="0.25">
      <c r="A566" s="18" t="str">
        <f xml:space="preserve">  MapNameLkup</f>
        <v>m_ofs_trex_ar_invoices</v>
      </c>
      <c r="B566" s="1" t="s">
        <v>98</v>
      </c>
      <c r="C566" s="1" t="s">
        <v>105</v>
      </c>
      <c r="D566" s="1" t="s">
        <v>1</v>
      </c>
      <c r="E566" s="1" t="s">
        <v>107</v>
      </c>
      <c r="F566">
        <v>1</v>
      </c>
      <c r="G566" s="1"/>
      <c r="H566" s="1" t="s">
        <v>405</v>
      </c>
      <c r="I566" s="1" t="s">
        <v>28</v>
      </c>
      <c r="J566" s="1" t="s">
        <v>31</v>
      </c>
      <c r="K566">
        <v>21</v>
      </c>
    </row>
    <row r="567" spans="1:11" x14ac:dyDescent="0.25">
      <c r="A567" s="18" t="str">
        <f xml:space="preserve">  MapNameLkup</f>
        <v>m_ofs_trex_ar_invoices</v>
      </c>
      <c r="B567" s="1" t="s">
        <v>98</v>
      </c>
      <c r="C567" s="1" t="s">
        <v>105</v>
      </c>
      <c r="D567" s="1" t="s">
        <v>1</v>
      </c>
      <c r="E567" s="1" t="s">
        <v>107</v>
      </c>
      <c r="F567">
        <v>1</v>
      </c>
      <c r="G567" s="1"/>
      <c r="H567" s="1" t="s">
        <v>163</v>
      </c>
      <c r="I567" s="1" t="s">
        <v>28</v>
      </c>
      <c r="J567" s="1" t="s">
        <v>31</v>
      </c>
      <c r="K567">
        <v>22</v>
      </c>
    </row>
    <row r="568" spans="1:11" x14ac:dyDescent="0.25">
      <c r="A568" s="18" t="str">
        <f xml:space="preserve">  MapNameLkup</f>
        <v>m_ofs_trex_ar_invoices</v>
      </c>
      <c r="B568" s="1" t="s">
        <v>98</v>
      </c>
      <c r="C568" s="1" t="s">
        <v>105</v>
      </c>
      <c r="D568" s="1" t="s">
        <v>1</v>
      </c>
      <c r="E568" s="1" t="s">
        <v>107</v>
      </c>
      <c r="F568">
        <v>1</v>
      </c>
      <c r="G568" s="1"/>
      <c r="H568" s="1" t="s">
        <v>164</v>
      </c>
      <c r="I568" s="1" t="s">
        <v>28</v>
      </c>
      <c r="J568" s="1" t="s">
        <v>31</v>
      </c>
      <c r="K568">
        <v>23</v>
      </c>
    </row>
    <row r="569" spans="1:11" x14ac:dyDescent="0.25">
      <c r="A569" s="18" t="str">
        <f xml:space="preserve">  MapNameLkup</f>
        <v>m_ofs_trex_ar_invoices</v>
      </c>
      <c r="B569" s="1" t="s">
        <v>98</v>
      </c>
      <c r="C569" s="1" t="s">
        <v>105</v>
      </c>
      <c r="D569" s="1" t="s">
        <v>1</v>
      </c>
      <c r="E569" s="1" t="s">
        <v>107</v>
      </c>
      <c r="F569">
        <v>1</v>
      </c>
      <c r="G569" s="1"/>
      <c r="H569" s="1" t="s">
        <v>165</v>
      </c>
      <c r="I569" s="1" t="s">
        <v>28</v>
      </c>
      <c r="J569" s="1" t="s">
        <v>31</v>
      </c>
      <c r="K569">
        <v>24</v>
      </c>
    </row>
    <row r="570" spans="1:11" x14ac:dyDescent="0.25">
      <c r="A570" s="18" t="str">
        <f xml:space="preserve">  MapNameLkup</f>
        <v>m_ofs_trex_ar_invoices</v>
      </c>
      <c r="B570" s="1" t="s">
        <v>98</v>
      </c>
      <c r="C570" s="1" t="s">
        <v>105</v>
      </c>
      <c r="D570" s="1" t="s">
        <v>1</v>
      </c>
      <c r="E570" s="1" t="s">
        <v>107</v>
      </c>
      <c r="F570">
        <v>1</v>
      </c>
      <c r="G570" s="1"/>
      <c r="H570" s="1" t="s">
        <v>166</v>
      </c>
      <c r="I570" s="1" t="s">
        <v>28</v>
      </c>
      <c r="J570" s="1" t="s">
        <v>31</v>
      </c>
      <c r="K570">
        <v>25</v>
      </c>
    </row>
    <row r="571" spans="1:11" x14ac:dyDescent="0.25">
      <c r="A571" s="18" t="str">
        <f xml:space="preserve">  MapNameLkup</f>
        <v>m_ofs_trex_ar_invoices</v>
      </c>
      <c r="B571" s="1" t="s">
        <v>98</v>
      </c>
      <c r="C571" s="1" t="s">
        <v>105</v>
      </c>
      <c r="D571" s="1" t="s">
        <v>1</v>
      </c>
      <c r="E571" s="1" t="s">
        <v>107</v>
      </c>
      <c r="F571">
        <v>1</v>
      </c>
      <c r="G571" s="1"/>
      <c r="H571" s="1" t="s">
        <v>167</v>
      </c>
      <c r="I571" s="1" t="s">
        <v>28</v>
      </c>
      <c r="J571" s="1" t="s">
        <v>31</v>
      </c>
      <c r="K571">
        <v>26</v>
      </c>
    </row>
    <row r="572" spans="1:11" x14ac:dyDescent="0.25">
      <c r="A572" s="18" t="str">
        <f xml:space="preserve">  MapNameLkup</f>
        <v>m_ofs_trex_ar_invoices</v>
      </c>
      <c r="B572" s="1" t="s">
        <v>98</v>
      </c>
      <c r="C572" s="1" t="s">
        <v>105</v>
      </c>
      <c r="D572" s="1" t="s">
        <v>1</v>
      </c>
      <c r="E572" s="1" t="s">
        <v>107</v>
      </c>
      <c r="F572">
        <v>1</v>
      </c>
      <c r="G572" s="1"/>
      <c r="H572" s="1" t="s">
        <v>168</v>
      </c>
      <c r="I572" s="1" t="s">
        <v>28</v>
      </c>
      <c r="J572" s="1" t="s">
        <v>31</v>
      </c>
      <c r="K572">
        <v>27</v>
      </c>
    </row>
    <row r="573" spans="1:11" x14ac:dyDescent="0.25">
      <c r="A573" s="18" t="str">
        <f xml:space="preserve">  MapNameLkup</f>
        <v>m_ofs_trex_ar_invoices</v>
      </c>
      <c r="B573" s="1" t="s">
        <v>98</v>
      </c>
      <c r="C573" s="1" t="s">
        <v>105</v>
      </c>
      <c r="D573" s="1" t="s">
        <v>1</v>
      </c>
      <c r="E573" s="1" t="s">
        <v>107</v>
      </c>
      <c r="F573">
        <v>1</v>
      </c>
      <c r="G573" s="1"/>
      <c r="H573" s="1" t="s">
        <v>169</v>
      </c>
      <c r="I573" s="1" t="s">
        <v>28</v>
      </c>
      <c r="J573" s="1" t="s">
        <v>31</v>
      </c>
      <c r="K573">
        <v>28</v>
      </c>
    </row>
    <row r="574" spans="1:11" x14ac:dyDescent="0.25">
      <c r="A574" s="18" t="str">
        <f xml:space="preserve">  MapNameLkup</f>
        <v>m_ofs_trex_ar_invoices</v>
      </c>
      <c r="B574" s="1" t="s">
        <v>98</v>
      </c>
      <c r="C574" s="1" t="s">
        <v>105</v>
      </c>
      <c r="D574" s="1" t="s">
        <v>1</v>
      </c>
      <c r="E574" s="1" t="s">
        <v>107</v>
      </c>
      <c r="F574">
        <v>1</v>
      </c>
      <c r="G574" s="1"/>
      <c r="H574" s="1" t="s">
        <v>170</v>
      </c>
      <c r="I574" s="1" t="s">
        <v>28</v>
      </c>
      <c r="J574" s="1" t="s">
        <v>31</v>
      </c>
      <c r="K574">
        <v>29</v>
      </c>
    </row>
    <row r="575" spans="1:11" x14ac:dyDescent="0.25">
      <c r="A575" s="18" t="str">
        <f xml:space="preserve">  MapNameLkup</f>
        <v>m_ofs_trex_ar_invoices</v>
      </c>
      <c r="B575" s="1" t="s">
        <v>98</v>
      </c>
      <c r="C575" s="1" t="s">
        <v>105</v>
      </c>
      <c r="D575" s="1" t="s">
        <v>1</v>
      </c>
      <c r="E575" s="1" t="s">
        <v>107</v>
      </c>
      <c r="F575">
        <v>1</v>
      </c>
      <c r="G575" s="1"/>
      <c r="H575" s="1" t="s">
        <v>171</v>
      </c>
      <c r="I575" s="1" t="s">
        <v>28</v>
      </c>
      <c r="J575" s="1" t="s">
        <v>31</v>
      </c>
      <c r="K575">
        <v>30</v>
      </c>
    </row>
    <row r="576" spans="1:11" x14ac:dyDescent="0.25">
      <c r="A576" s="18" t="str">
        <f xml:space="preserve">  MapNameLkup</f>
        <v>m_ofs_trex_ar_invoices</v>
      </c>
      <c r="B576" s="1" t="s">
        <v>98</v>
      </c>
      <c r="C576" s="1" t="s">
        <v>105</v>
      </c>
      <c r="D576" s="1" t="s">
        <v>1</v>
      </c>
      <c r="E576" s="1" t="s">
        <v>107</v>
      </c>
      <c r="F576">
        <v>1</v>
      </c>
      <c r="G576" s="1"/>
      <c r="H576" s="1" t="s">
        <v>172</v>
      </c>
      <c r="I576" s="1" t="s">
        <v>28</v>
      </c>
      <c r="J576" s="1" t="s">
        <v>31</v>
      </c>
      <c r="K576">
        <v>31</v>
      </c>
    </row>
    <row r="577" spans="1:11" x14ac:dyDescent="0.25">
      <c r="A577" s="18" t="str">
        <f xml:space="preserve">  MapNameLkup</f>
        <v>m_ofs_trex_ar_invoices</v>
      </c>
      <c r="B577" s="1" t="s">
        <v>98</v>
      </c>
      <c r="C577" s="1" t="s">
        <v>105</v>
      </c>
      <c r="D577" s="1" t="s">
        <v>1</v>
      </c>
      <c r="E577" s="1" t="s">
        <v>107</v>
      </c>
      <c r="F577">
        <v>1</v>
      </c>
      <c r="G577" s="1"/>
      <c r="H577" s="1" t="s">
        <v>173</v>
      </c>
      <c r="I577" s="1" t="s">
        <v>28</v>
      </c>
      <c r="J577" s="1" t="s">
        <v>31</v>
      </c>
      <c r="K577">
        <v>32</v>
      </c>
    </row>
    <row r="578" spans="1:11" x14ac:dyDescent="0.25">
      <c r="A578" s="18" t="str">
        <f xml:space="preserve">  MapNameLkup</f>
        <v>m_ofs_trex_ar_invoices</v>
      </c>
      <c r="B578" s="1" t="s">
        <v>98</v>
      </c>
      <c r="C578" s="1" t="s">
        <v>105</v>
      </c>
      <c r="D578" s="1" t="s">
        <v>1</v>
      </c>
      <c r="E578" s="1" t="s">
        <v>107</v>
      </c>
      <c r="F578">
        <v>1</v>
      </c>
      <c r="G578" s="1"/>
      <c r="H578" s="1" t="s">
        <v>493</v>
      </c>
      <c r="I578" s="1" t="s">
        <v>28</v>
      </c>
      <c r="J578" s="1" t="s">
        <v>32</v>
      </c>
      <c r="K578">
        <v>33</v>
      </c>
    </row>
    <row r="579" spans="1:11" x14ac:dyDescent="0.25">
      <c r="A579" s="18" t="str">
        <f xml:space="preserve">  MapNameLkup</f>
        <v>m_ofs_trex_ar_invoices</v>
      </c>
      <c r="B579" s="1" t="s">
        <v>98</v>
      </c>
      <c r="C579" s="1" t="s">
        <v>105</v>
      </c>
      <c r="D579" s="1" t="s">
        <v>1</v>
      </c>
      <c r="E579" s="1" t="s">
        <v>107</v>
      </c>
      <c r="F579">
        <v>1</v>
      </c>
      <c r="G579" s="1"/>
      <c r="H579" s="1" t="s">
        <v>494</v>
      </c>
      <c r="I579" s="1" t="s">
        <v>28</v>
      </c>
      <c r="J579" s="1" t="s">
        <v>32</v>
      </c>
      <c r="K579">
        <v>34</v>
      </c>
    </row>
    <row r="580" spans="1:11" x14ac:dyDescent="0.25">
      <c r="A580" s="18" t="str">
        <f xml:space="preserve">  MapNameLkup</f>
        <v>m_ofs_trex_ar_invoices</v>
      </c>
      <c r="B580" s="1" t="s">
        <v>98</v>
      </c>
      <c r="C580" s="1" t="s">
        <v>105</v>
      </c>
      <c r="D580" s="1" t="s">
        <v>1</v>
      </c>
      <c r="E580" s="1" t="s">
        <v>107</v>
      </c>
      <c r="F580">
        <v>1</v>
      </c>
      <c r="G580" s="1"/>
      <c r="H580" s="1" t="s">
        <v>495</v>
      </c>
      <c r="I580" s="1" t="s">
        <v>28</v>
      </c>
      <c r="J580" s="1" t="s">
        <v>32</v>
      </c>
      <c r="K580">
        <v>35</v>
      </c>
    </row>
    <row r="581" spans="1:11" x14ac:dyDescent="0.25">
      <c r="A581" s="18" t="str">
        <f xml:space="preserve">  MapNameLkup</f>
        <v>m_ofs_trex_ar_invoices</v>
      </c>
      <c r="B581" s="1" t="s">
        <v>98</v>
      </c>
      <c r="C581" s="1" t="s">
        <v>105</v>
      </c>
      <c r="D581" s="1" t="s">
        <v>1</v>
      </c>
      <c r="E581" s="1" t="s">
        <v>107</v>
      </c>
      <c r="F581">
        <v>1</v>
      </c>
      <c r="G581" s="1"/>
      <c r="H581" s="1" t="s">
        <v>186</v>
      </c>
      <c r="I581" s="1" t="s">
        <v>28</v>
      </c>
      <c r="J581" s="1" t="s">
        <v>31</v>
      </c>
      <c r="K581">
        <v>36</v>
      </c>
    </row>
    <row r="582" spans="1:11" x14ac:dyDescent="0.25">
      <c r="A582" s="18" t="str">
        <f xml:space="preserve">  MapNameLkup</f>
        <v>m_ofs_trex_ar_invoices</v>
      </c>
      <c r="B582" s="1" t="s">
        <v>98</v>
      </c>
      <c r="C582" s="1" t="s">
        <v>105</v>
      </c>
      <c r="D582" s="1" t="s">
        <v>1</v>
      </c>
      <c r="E582" s="1" t="s">
        <v>107</v>
      </c>
      <c r="F582">
        <v>1</v>
      </c>
      <c r="G582" s="1"/>
      <c r="H582" s="1" t="s">
        <v>496</v>
      </c>
      <c r="I582" s="1" t="s">
        <v>28</v>
      </c>
      <c r="J582" s="1" t="s">
        <v>31</v>
      </c>
      <c r="K582">
        <v>37</v>
      </c>
    </row>
    <row r="583" spans="1:11" x14ac:dyDescent="0.25">
      <c r="A583" s="18" t="str">
        <f xml:space="preserve">  MapNameLkup</f>
        <v>m_ofs_trex_ar_invoices</v>
      </c>
      <c r="B583" s="1" t="s">
        <v>98</v>
      </c>
      <c r="C583" s="1" t="s">
        <v>105</v>
      </c>
      <c r="D583" s="1" t="s">
        <v>1</v>
      </c>
      <c r="E583" s="1" t="s">
        <v>107</v>
      </c>
      <c r="F583">
        <v>1</v>
      </c>
      <c r="G583" s="1"/>
      <c r="H583" s="1" t="s">
        <v>497</v>
      </c>
      <c r="I583" s="1" t="s">
        <v>28</v>
      </c>
      <c r="J583" s="1" t="s">
        <v>31</v>
      </c>
      <c r="K583">
        <v>38</v>
      </c>
    </row>
    <row r="584" spans="1:11" x14ac:dyDescent="0.25">
      <c r="A584" s="18" t="str">
        <f xml:space="preserve">  MapNameLkup</f>
        <v>m_ofs_trex_ar_invoices</v>
      </c>
      <c r="B584" s="1" t="s">
        <v>98</v>
      </c>
      <c r="C584" s="1" t="s">
        <v>105</v>
      </c>
      <c r="D584" s="1" t="s">
        <v>1</v>
      </c>
      <c r="E584" s="1" t="s">
        <v>107</v>
      </c>
      <c r="F584">
        <v>1</v>
      </c>
      <c r="G584" s="1"/>
      <c r="H584" s="1" t="s">
        <v>498</v>
      </c>
      <c r="I584" s="1" t="s">
        <v>28</v>
      </c>
      <c r="J584" s="1" t="s">
        <v>31</v>
      </c>
      <c r="K584">
        <v>39</v>
      </c>
    </row>
    <row r="585" spans="1:11" x14ac:dyDescent="0.25">
      <c r="A585" s="18" t="str">
        <f xml:space="preserve">  MapNameLkup</f>
        <v>m_ofs_trex_ar_invoices</v>
      </c>
      <c r="B585" s="1" t="s">
        <v>98</v>
      </c>
      <c r="C585" s="1" t="s">
        <v>105</v>
      </c>
      <c r="D585" s="1" t="s">
        <v>1</v>
      </c>
      <c r="E585" s="1" t="s">
        <v>107</v>
      </c>
      <c r="F585">
        <v>1</v>
      </c>
      <c r="G585" s="1"/>
      <c r="H585" s="1" t="s">
        <v>499</v>
      </c>
      <c r="I585" s="1" t="s">
        <v>28</v>
      </c>
      <c r="J585" s="1" t="s">
        <v>31</v>
      </c>
      <c r="K585">
        <v>40</v>
      </c>
    </row>
    <row r="586" spans="1:11" x14ac:dyDescent="0.25">
      <c r="A586" s="18" t="str">
        <f xml:space="preserve">  MapNameLkup</f>
        <v>m_ofs_trex_ar_invoices</v>
      </c>
      <c r="B586" s="1" t="s">
        <v>98</v>
      </c>
      <c r="C586" s="1" t="s">
        <v>105</v>
      </c>
      <c r="D586" s="1" t="s">
        <v>1</v>
      </c>
      <c r="E586" s="1" t="s">
        <v>107</v>
      </c>
      <c r="F586">
        <v>1</v>
      </c>
      <c r="G586" s="1"/>
      <c r="H586" s="1" t="s">
        <v>204</v>
      </c>
      <c r="I586" s="1" t="s">
        <v>28</v>
      </c>
      <c r="J586" s="1" t="s">
        <v>32</v>
      </c>
      <c r="K586">
        <v>41</v>
      </c>
    </row>
    <row r="587" spans="1:11" x14ac:dyDescent="0.25">
      <c r="A587" s="18" t="str">
        <f xml:space="preserve">  MapNameLkup</f>
        <v>m_ofs_trex_ar_invoices</v>
      </c>
      <c r="B587" s="1" t="s">
        <v>98</v>
      </c>
      <c r="C587" s="1" t="s">
        <v>105</v>
      </c>
      <c r="D587" s="1" t="s">
        <v>1</v>
      </c>
      <c r="E587" s="1" t="s">
        <v>107</v>
      </c>
      <c r="F587">
        <v>1</v>
      </c>
      <c r="G587" s="1"/>
      <c r="H587" s="1" t="s">
        <v>500</v>
      </c>
      <c r="I587" s="1" t="s">
        <v>28</v>
      </c>
      <c r="J587" s="1" t="s">
        <v>32</v>
      </c>
      <c r="K587">
        <v>42</v>
      </c>
    </row>
    <row r="588" spans="1:11" x14ac:dyDescent="0.25">
      <c r="A588" s="18" t="str">
        <f xml:space="preserve">  MapNameLkup</f>
        <v>m_ofs_trex_ar_invoices</v>
      </c>
      <c r="B588" s="1" t="s">
        <v>98</v>
      </c>
      <c r="C588" s="1" t="s">
        <v>105</v>
      </c>
      <c r="D588" s="1" t="s">
        <v>1</v>
      </c>
      <c r="E588" s="1" t="s">
        <v>107</v>
      </c>
      <c r="F588">
        <v>1</v>
      </c>
      <c r="G588" s="1"/>
      <c r="H588" s="1" t="s">
        <v>207</v>
      </c>
      <c r="I588" s="1" t="s">
        <v>28</v>
      </c>
      <c r="J588" s="1" t="s">
        <v>31</v>
      </c>
      <c r="K588">
        <v>43</v>
      </c>
    </row>
    <row r="589" spans="1:11" x14ac:dyDescent="0.25">
      <c r="A589" s="18" t="str">
        <f xml:space="preserve">  MapNameLkup</f>
        <v>m_ofs_trex_ar_invoices</v>
      </c>
      <c r="B589" s="1" t="s">
        <v>98</v>
      </c>
      <c r="C589" s="1" t="s">
        <v>105</v>
      </c>
      <c r="D589" s="1" t="s">
        <v>1</v>
      </c>
      <c r="E589" s="1" t="s">
        <v>107</v>
      </c>
      <c r="F589">
        <v>1</v>
      </c>
      <c r="G589" s="1"/>
      <c r="H589" s="1" t="s">
        <v>208</v>
      </c>
      <c r="I589" s="1" t="s">
        <v>28</v>
      </c>
      <c r="J589" s="1" t="s">
        <v>31</v>
      </c>
      <c r="K589">
        <v>44</v>
      </c>
    </row>
    <row r="590" spans="1:11" x14ac:dyDescent="0.25">
      <c r="A590" s="18" t="str">
        <f xml:space="preserve">  MapNameLkup</f>
        <v>m_ofs_trex_ar_invoices</v>
      </c>
      <c r="B590" s="1" t="s">
        <v>98</v>
      </c>
      <c r="C590" s="1" t="s">
        <v>105</v>
      </c>
      <c r="D590" s="1" t="s">
        <v>1</v>
      </c>
      <c r="E590" s="1" t="s">
        <v>107</v>
      </c>
      <c r="F590">
        <v>1</v>
      </c>
      <c r="G590" s="1"/>
      <c r="H590" s="1" t="s">
        <v>209</v>
      </c>
      <c r="I590" s="1" t="s">
        <v>28</v>
      </c>
      <c r="J590" s="1" t="s">
        <v>31</v>
      </c>
      <c r="K590">
        <v>45</v>
      </c>
    </row>
    <row r="591" spans="1:11" x14ac:dyDescent="0.25">
      <c r="A591" s="18" t="str">
        <f xml:space="preserve">  MapNameLkup</f>
        <v>m_ofs_trex_ar_invoices</v>
      </c>
      <c r="B591" s="1" t="s">
        <v>98</v>
      </c>
      <c r="C591" s="1" t="s">
        <v>105</v>
      </c>
      <c r="D591" s="1" t="s">
        <v>1</v>
      </c>
      <c r="E591" s="1" t="s">
        <v>107</v>
      </c>
      <c r="F591">
        <v>1</v>
      </c>
      <c r="G591" s="1"/>
      <c r="H591" s="1" t="s">
        <v>210</v>
      </c>
      <c r="I591" s="1" t="s">
        <v>28</v>
      </c>
      <c r="J591" s="1" t="s">
        <v>31</v>
      </c>
      <c r="K591">
        <v>46</v>
      </c>
    </row>
    <row r="592" spans="1:11" x14ac:dyDescent="0.25">
      <c r="A592" s="18" t="str">
        <f xml:space="preserve">  MapNameLkup</f>
        <v>m_ofs_trex_ar_invoices</v>
      </c>
      <c r="B592" s="1" t="s">
        <v>98</v>
      </c>
      <c r="C592" s="1" t="s">
        <v>105</v>
      </c>
      <c r="D592" s="1" t="s">
        <v>1</v>
      </c>
      <c r="E592" s="1" t="s">
        <v>107</v>
      </c>
      <c r="F592">
        <v>1</v>
      </c>
      <c r="G592" s="1"/>
      <c r="H592" s="1" t="s">
        <v>211</v>
      </c>
      <c r="I592" s="1" t="s">
        <v>28</v>
      </c>
      <c r="J592" s="1" t="s">
        <v>31</v>
      </c>
      <c r="K592">
        <v>47</v>
      </c>
    </row>
    <row r="593" spans="1:11" x14ac:dyDescent="0.25">
      <c r="A593" s="18" t="str">
        <f xml:space="preserve">  MapNameLkup</f>
        <v>m_ofs_trex_ar_invoices</v>
      </c>
      <c r="B593" s="1" t="s">
        <v>98</v>
      </c>
      <c r="C593" s="1" t="s">
        <v>105</v>
      </c>
      <c r="D593" s="1" t="s">
        <v>1</v>
      </c>
      <c r="E593" s="1" t="s">
        <v>107</v>
      </c>
      <c r="F593">
        <v>1</v>
      </c>
      <c r="G593" s="1"/>
      <c r="H593" s="1" t="s">
        <v>501</v>
      </c>
      <c r="I593" s="1" t="s">
        <v>28</v>
      </c>
      <c r="J593" s="1" t="s">
        <v>32</v>
      </c>
      <c r="K593">
        <v>48</v>
      </c>
    </row>
    <row r="594" spans="1:11" x14ac:dyDescent="0.25">
      <c r="A594" s="18" t="str">
        <f xml:space="preserve">  MapNameLkup</f>
        <v>m_ofs_trex_ar_invoices</v>
      </c>
      <c r="B594" s="1" t="s">
        <v>98</v>
      </c>
      <c r="C594" s="1" t="s">
        <v>105</v>
      </c>
      <c r="D594" s="1" t="s">
        <v>1</v>
      </c>
      <c r="E594" s="1" t="s">
        <v>107</v>
      </c>
      <c r="F594">
        <v>1</v>
      </c>
      <c r="G594" s="1"/>
      <c r="H594" s="1" t="s">
        <v>159</v>
      </c>
      <c r="I594" s="1" t="s">
        <v>28</v>
      </c>
      <c r="J594" s="1" t="s">
        <v>31</v>
      </c>
      <c r="K594">
        <v>49</v>
      </c>
    </row>
    <row r="595" spans="1:11" x14ac:dyDescent="0.25">
      <c r="A595" s="18" t="str">
        <f xml:space="preserve">  MapNameLkup</f>
        <v>m_ofs_trex_ar_invoices</v>
      </c>
      <c r="B595" s="1" t="s">
        <v>98</v>
      </c>
      <c r="C595" s="1" t="s">
        <v>105</v>
      </c>
      <c r="D595" s="1" t="s">
        <v>1</v>
      </c>
      <c r="E595" s="1" t="s">
        <v>107</v>
      </c>
      <c r="F595">
        <v>1</v>
      </c>
      <c r="G595" s="1"/>
      <c r="H595" s="1" t="s">
        <v>219</v>
      </c>
      <c r="I595" s="1" t="s">
        <v>28</v>
      </c>
      <c r="J595" s="1" t="s">
        <v>31</v>
      </c>
      <c r="K595">
        <v>50</v>
      </c>
    </row>
    <row r="596" spans="1:11" x14ac:dyDescent="0.25">
      <c r="A596" s="18" t="str">
        <f xml:space="preserve">  MapNameLkup</f>
        <v>m_ofs_trex_ar_invoices</v>
      </c>
      <c r="B596" s="1" t="s">
        <v>98</v>
      </c>
      <c r="C596" s="1" t="s">
        <v>105</v>
      </c>
      <c r="D596" s="1" t="s">
        <v>1</v>
      </c>
      <c r="E596" s="1" t="s">
        <v>107</v>
      </c>
      <c r="F596">
        <v>1</v>
      </c>
      <c r="G596" s="1"/>
      <c r="H596" s="1" t="s">
        <v>220</v>
      </c>
      <c r="I596" s="1" t="s">
        <v>28</v>
      </c>
      <c r="J596" s="1" t="s">
        <v>31</v>
      </c>
      <c r="K596">
        <v>51</v>
      </c>
    </row>
    <row r="597" spans="1:11" x14ac:dyDescent="0.25">
      <c r="A597" s="18" t="str">
        <f xml:space="preserve">  MapNameLkup</f>
        <v>m_ofs_trex_ar_invoices</v>
      </c>
      <c r="B597" s="1" t="s">
        <v>98</v>
      </c>
      <c r="C597" s="1" t="s">
        <v>105</v>
      </c>
      <c r="D597" s="1" t="s">
        <v>1</v>
      </c>
      <c r="E597" s="1" t="s">
        <v>107</v>
      </c>
      <c r="F597">
        <v>1</v>
      </c>
      <c r="G597" s="1"/>
      <c r="H597" s="1" t="s">
        <v>221</v>
      </c>
      <c r="I597" s="1" t="s">
        <v>28</v>
      </c>
      <c r="J597" s="1" t="s">
        <v>31</v>
      </c>
      <c r="K597">
        <v>52</v>
      </c>
    </row>
    <row r="598" spans="1:11" x14ac:dyDescent="0.25">
      <c r="A598" s="18" t="str">
        <f xml:space="preserve">  MapNameLkup</f>
        <v>m_ofs_trex_ar_invoices</v>
      </c>
      <c r="B598" s="1" t="s">
        <v>98</v>
      </c>
      <c r="C598" s="1" t="s">
        <v>105</v>
      </c>
      <c r="D598" s="1" t="s">
        <v>1</v>
      </c>
      <c r="E598" s="1" t="s">
        <v>107</v>
      </c>
      <c r="F598">
        <v>1</v>
      </c>
      <c r="G598" s="1"/>
      <c r="H598" s="1" t="s">
        <v>222</v>
      </c>
      <c r="I598" s="1" t="s">
        <v>28</v>
      </c>
      <c r="J598" s="1" t="s">
        <v>31</v>
      </c>
      <c r="K598">
        <v>53</v>
      </c>
    </row>
    <row r="599" spans="1:11" x14ac:dyDescent="0.25">
      <c r="A599" s="18" t="str">
        <f xml:space="preserve">  MapNameLkup</f>
        <v>m_ofs_trex_ar_invoices</v>
      </c>
      <c r="B599" s="1" t="s">
        <v>98</v>
      </c>
      <c r="C599" s="1" t="s">
        <v>105</v>
      </c>
      <c r="D599" s="1" t="s">
        <v>1</v>
      </c>
      <c r="E599" s="1" t="s">
        <v>107</v>
      </c>
      <c r="F599">
        <v>1</v>
      </c>
      <c r="G599" s="1"/>
      <c r="H599" s="1" t="s">
        <v>223</v>
      </c>
      <c r="I599" s="1" t="s">
        <v>28</v>
      </c>
      <c r="J599" s="1" t="s">
        <v>31</v>
      </c>
      <c r="K599">
        <v>54</v>
      </c>
    </row>
    <row r="600" spans="1:11" x14ac:dyDescent="0.25">
      <c r="A600" s="18" t="str">
        <f xml:space="preserve">  MapNameLkup</f>
        <v>m_ofs_trex_ar_invoices</v>
      </c>
      <c r="B600" s="1" t="s">
        <v>98</v>
      </c>
      <c r="C600" s="1" t="s">
        <v>105</v>
      </c>
      <c r="D600" s="1" t="s">
        <v>1</v>
      </c>
      <c r="E600" s="1" t="s">
        <v>107</v>
      </c>
      <c r="F600">
        <v>1</v>
      </c>
      <c r="G600" s="1"/>
      <c r="H600" s="1" t="s">
        <v>224</v>
      </c>
      <c r="I600" s="1" t="s">
        <v>28</v>
      </c>
      <c r="J600" s="1" t="s">
        <v>31</v>
      </c>
      <c r="K600">
        <v>55</v>
      </c>
    </row>
    <row r="601" spans="1:11" x14ac:dyDescent="0.25">
      <c r="A601" s="18" t="str">
        <f xml:space="preserve">  MapNameLkup</f>
        <v>m_ofs_trex_ar_invoices</v>
      </c>
      <c r="B601" s="1" t="s">
        <v>98</v>
      </c>
      <c r="C601" s="1" t="s">
        <v>105</v>
      </c>
      <c r="D601" s="1" t="s">
        <v>1</v>
      </c>
      <c r="E601" s="1" t="s">
        <v>107</v>
      </c>
      <c r="F601">
        <v>1</v>
      </c>
      <c r="G601" s="1"/>
      <c r="H601" s="1" t="s">
        <v>225</v>
      </c>
      <c r="I601" s="1" t="s">
        <v>28</v>
      </c>
      <c r="J601" s="1" t="s">
        <v>31</v>
      </c>
      <c r="K601">
        <v>56</v>
      </c>
    </row>
    <row r="602" spans="1:11" x14ac:dyDescent="0.25">
      <c r="A602" s="18" t="str">
        <f xml:space="preserve">  MapNameLkup</f>
        <v>m_ofs_trex_ar_invoices</v>
      </c>
      <c r="B602" s="1" t="s">
        <v>98</v>
      </c>
      <c r="C602" s="1" t="s">
        <v>105</v>
      </c>
      <c r="D602" s="1" t="s">
        <v>1</v>
      </c>
      <c r="E602" s="1" t="s">
        <v>107</v>
      </c>
      <c r="F602">
        <v>1</v>
      </c>
      <c r="G602" s="1"/>
      <c r="H602" s="1" t="s">
        <v>226</v>
      </c>
      <c r="I602" s="1" t="s">
        <v>28</v>
      </c>
      <c r="J602" s="1" t="s">
        <v>31</v>
      </c>
      <c r="K602">
        <v>57</v>
      </c>
    </row>
    <row r="603" spans="1:11" x14ac:dyDescent="0.25">
      <c r="A603" s="18" t="str">
        <f xml:space="preserve">  MapNameLkup</f>
        <v>m_ofs_trex_ar_invoices</v>
      </c>
      <c r="B603" s="1" t="s">
        <v>98</v>
      </c>
      <c r="C603" s="1" t="s">
        <v>105</v>
      </c>
      <c r="D603" s="1" t="s">
        <v>1</v>
      </c>
      <c r="E603" s="1" t="s">
        <v>107</v>
      </c>
      <c r="F603">
        <v>1</v>
      </c>
      <c r="G603" s="1"/>
      <c r="H603" s="1" t="s">
        <v>227</v>
      </c>
      <c r="I603" s="1" t="s">
        <v>28</v>
      </c>
      <c r="J603" s="1" t="s">
        <v>31</v>
      </c>
      <c r="K603">
        <v>58</v>
      </c>
    </row>
    <row r="604" spans="1:11" x14ac:dyDescent="0.25">
      <c r="A604" s="18" t="str">
        <f xml:space="preserve">  MapNameLkup</f>
        <v>m_ofs_trex_ar_invoices</v>
      </c>
      <c r="B604" s="1" t="s">
        <v>98</v>
      </c>
      <c r="C604" s="1" t="s">
        <v>105</v>
      </c>
      <c r="D604" s="1" t="s">
        <v>1</v>
      </c>
      <c r="E604" s="1" t="s">
        <v>107</v>
      </c>
      <c r="F604">
        <v>1</v>
      </c>
      <c r="G604" s="1"/>
      <c r="H604" s="1" t="s">
        <v>228</v>
      </c>
      <c r="I604" s="1" t="s">
        <v>28</v>
      </c>
      <c r="J604" s="1" t="s">
        <v>31</v>
      </c>
      <c r="K604">
        <v>59</v>
      </c>
    </row>
    <row r="605" spans="1:11" x14ac:dyDescent="0.25">
      <c r="A605" s="18" t="str">
        <f xml:space="preserve">  MapNameLkup</f>
        <v>m_ofs_trex_ar_invoices</v>
      </c>
      <c r="B605" s="1" t="s">
        <v>98</v>
      </c>
      <c r="C605" s="1" t="s">
        <v>105</v>
      </c>
      <c r="D605" s="1" t="s">
        <v>1</v>
      </c>
      <c r="E605" s="1" t="s">
        <v>107</v>
      </c>
      <c r="F605">
        <v>1</v>
      </c>
      <c r="G605" s="1"/>
      <c r="H605" s="1" t="s">
        <v>229</v>
      </c>
      <c r="I605" s="1" t="s">
        <v>28</v>
      </c>
      <c r="J605" s="1" t="s">
        <v>31</v>
      </c>
      <c r="K605">
        <v>60</v>
      </c>
    </row>
    <row r="606" spans="1:11" x14ac:dyDescent="0.25">
      <c r="A606" s="18" t="str">
        <f xml:space="preserve">  MapNameLkup</f>
        <v>m_ofs_trex_ar_invoices</v>
      </c>
      <c r="B606" s="1" t="s">
        <v>98</v>
      </c>
      <c r="C606" s="1" t="s">
        <v>105</v>
      </c>
      <c r="D606" s="1" t="s">
        <v>1</v>
      </c>
      <c r="E606" s="1" t="s">
        <v>107</v>
      </c>
      <c r="F606">
        <v>1</v>
      </c>
      <c r="G606" s="1"/>
      <c r="H606" s="1" t="s">
        <v>230</v>
      </c>
      <c r="I606" s="1" t="s">
        <v>28</v>
      </c>
      <c r="J606" s="1" t="s">
        <v>31</v>
      </c>
      <c r="K606">
        <v>61</v>
      </c>
    </row>
    <row r="607" spans="1:11" x14ac:dyDescent="0.25">
      <c r="A607" s="18" t="str">
        <f xml:space="preserve">  MapNameLkup</f>
        <v>m_ofs_trex_ar_invoices</v>
      </c>
      <c r="B607" s="1" t="s">
        <v>98</v>
      </c>
      <c r="C607" s="1" t="s">
        <v>105</v>
      </c>
      <c r="D607" s="1" t="s">
        <v>1</v>
      </c>
      <c r="E607" s="1" t="s">
        <v>107</v>
      </c>
      <c r="F607">
        <v>1</v>
      </c>
      <c r="G607" s="1"/>
      <c r="H607" s="1" t="s">
        <v>231</v>
      </c>
      <c r="I607" s="1" t="s">
        <v>28</v>
      </c>
      <c r="J607" s="1" t="s">
        <v>31</v>
      </c>
      <c r="K607">
        <v>62</v>
      </c>
    </row>
    <row r="608" spans="1:11" x14ac:dyDescent="0.25">
      <c r="A608" s="18" t="str">
        <f xml:space="preserve">  MapNameLkup</f>
        <v>m_ofs_trex_ar_invoices</v>
      </c>
      <c r="B608" s="1" t="s">
        <v>98</v>
      </c>
      <c r="C608" s="1" t="s">
        <v>105</v>
      </c>
      <c r="D608" s="1" t="s">
        <v>1</v>
      </c>
      <c r="E608" s="1" t="s">
        <v>107</v>
      </c>
      <c r="F608">
        <v>1</v>
      </c>
      <c r="G608" s="1"/>
      <c r="H608" s="1" t="s">
        <v>232</v>
      </c>
      <c r="I608" s="1" t="s">
        <v>28</v>
      </c>
      <c r="J608" s="1" t="s">
        <v>31</v>
      </c>
      <c r="K608">
        <v>63</v>
      </c>
    </row>
    <row r="609" spans="1:11" x14ac:dyDescent="0.25">
      <c r="A609" s="18" t="str">
        <f xml:space="preserve">  MapNameLkup</f>
        <v>m_ofs_trex_ar_invoices</v>
      </c>
      <c r="B609" s="1" t="s">
        <v>98</v>
      </c>
      <c r="C609" s="1" t="s">
        <v>105</v>
      </c>
      <c r="D609" s="1" t="s">
        <v>1</v>
      </c>
      <c r="E609" s="1" t="s">
        <v>107</v>
      </c>
      <c r="F609">
        <v>1</v>
      </c>
      <c r="G609" s="1"/>
      <c r="H609" s="1" t="s">
        <v>233</v>
      </c>
      <c r="I609" s="1" t="s">
        <v>28</v>
      </c>
      <c r="J609" s="1" t="s">
        <v>31</v>
      </c>
      <c r="K609">
        <v>64</v>
      </c>
    </row>
    <row r="610" spans="1:11" x14ac:dyDescent="0.25">
      <c r="A610" s="18" t="str">
        <f xml:space="preserve">  MapNameLkup</f>
        <v>m_ofs_trex_ar_invoices</v>
      </c>
      <c r="B610" s="1" t="s">
        <v>98</v>
      </c>
      <c r="C610" s="1" t="s">
        <v>105</v>
      </c>
      <c r="D610" s="1" t="s">
        <v>1</v>
      </c>
      <c r="E610" s="1" t="s">
        <v>107</v>
      </c>
      <c r="F610">
        <v>1</v>
      </c>
      <c r="G610" s="1"/>
      <c r="H610" s="1" t="s">
        <v>234</v>
      </c>
      <c r="I610" s="1" t="s">
        <v>28</v>
      </c>
      <c r="J610" s="1" t="s">
        <v>31</v>
      </c>
      <c r="K610">
        <v>65</v>
      </c>
    </row>
    <row r="611" spans="1:11" x14ac:dyDescent="0.25">
      <c r="A611" s="18" t="str">
        <f xml:space="preserve">  MapNameLkup</f>
        <v>m_ofs_trex_ar_invoices</v>
      </c>
      <c r="B611" s="1" t="s">
        <v>98</v>
      </c>
      <c r="C611" s="1" t="s">
        <v>105</v>
      </c>
      <c r="D611" s="1" t="s">
        <v>1</v>
      </c>
      <c r="E611" s="1" t="s">
        <v>107</v>
      </c>
      <c r="F611">
        <v>1</v>
      </c>
      <c r="G611" s="1"/>
      <c r="H611" s="1" t="s">
        <v>235</v>
      </c>
      <c r="I611" s="1" t="s">
        <v>28</v>
      </c>
      <c r="J611" s="1" t="s">
        <v>31</v>
      </c>
      <c r="K611">
        <v>66</v>
      </c>
    </row>
    <row r="612" spans="1:11" x14ac:dyDescent="0.25">
      <c r="A612" s="18" t="str">
        <f xml:space="preserve">  MapNameLkup</f>
        <v>m_ofs_trex_ar_invoices</v>
      </c>
      <c r="B612" s="1" t="s">
        <v>98</v>
      </c>
      <c r="C612" s="1" t="s">
        <v>105</v>
      </c>
      <c r="D612" s="1" t="s">
        <v>1</v>
      </c>
      <c r="E612" s="1" t="s">
        <v>107</v>
      </c>
      <c r="F612">
        <v>1</v>
      </c>
      <c r="G612" s="1"/>
      <c r="H612" s="1" t="s">
        <v>236</v>
      </c>
      <c r="I612" s="1" t="s">
        <v>28</v>
      </c>
      <c r="J612" s="1" t="s">
        <v>31</v>
      </c>
      <c r="K612">
        <v>67</v>
      </c>
    </row>
    <row r="613" spans="1:11" x14ac:dyDescent="0.25">
      <c r="A613" s="18" t="str">
        <f xml:space="preserve">  MapNameLkup</f>
        <v>m_ofs_trex_ar_invoices</v>
      </c>
      <c r="B613" s="1" t="s">
        <v>98</v>
      </c>
      <c r="C613" s="1" t="s">
        <v>105</v>
      </c>
      <c r="D613" s="1" t="s">
        <v>1</v>
      </c>
      <c r="E613" s="1" t="s">
        <v>107</v>
      </c>
      <c r="F613">
        <v>1</v>
      </c>
      <c r="G613" s="1"/>
      <c r="H613" s="1" t="s">
        <v>237</v>
      </c>
      <c r="I613" s="1" t="s">
        <v>28</v>
      </c>
      <c r="J613" s="1" t="s">
        <v>31</v>
      </c>
      <c r="K613">
        <v>68</v>
      </c>
    </row>
    <row r="614" spans="1:11" x14ac:dyDescent="0.25">
      <c r="A614" s="18" t="str">
        <f xml:space="preserve">  MapNameLkup</f>
        <v>m_ofs_trex_ar_invoices</v>
      </c>
      <c r="B614" s="1" t="s">
        <v>98</v>
      </c>
      <c r="C614" s="1" t="s">
        <v>105</v>
      </c>
      <c r="D614" s="1" t="s">
        <v>1</v>
      </c>
      <c r="E614" s="1" t="s">
        <v>107</v>
      </c>
      <c r="F614">
        <v>1</v>
      </c>
      <c r="G614" s="1"/>
      <c r="H614" s="1" t="s">
        <v>238</v>
      </c>
      <c r="I614" s="1" t="s">
        <v>28</v>
      </c>
      <c r="J614" s="1" t="s">
        <v>31</v>
      </c>
      <c r="K614">
        <v>69</v>
      </c>
    </row>
    <row r="615" spans="1:11" x14ac:dyDescent="0.25">
      <c r="A615" s="18" t="str">
        <f xml:space="preserve">  MapNameLkup</f>
        <v>m_ofs_trex_ar_invoices</v>
      </c>
      <c r="B615" s="1" t="s">
        <v>98</v>
      </c>
      <c r="C615" s="1" t="s">
        <v>105</v>
      </c>
      <c r="D615" s="1" t="s">
        <v>1</v>
      </c>
      <c r="E615" s="1" t="s">
        <v>107</v>
      </c>
      <c r="F615">
        <v>1</v>
      </c>
      <c r="G615" s="1"/>
      <c r="H615" s="1" t="s">
        <v>239</v>
      </c>
      <c r="I615" s="1" t="s">
        <v>28</v>
      </c>
      <c r="J615" s="1" t="s">
        <v>31</v>
      </c>
      <c r="K615">
        <v>70</v>
      </c>
    </row>
    <row r="616" spans="1:11" x14ac:dyDescent="0.25">
      <c r="A616" s="18" t="str">
        <f xml:space="preserve">  MapNameLkup</f>
        <v>m_ofs_trex_ar_invoices</v>
      </c>
      <c r="B616" s="1" t="s">
        <v>98</v>
      </c>
      <c r="C616" s="1" t="s">
        <v>105</v>
      </c>
      <c r="D616" s="1" t="s">
        <v>1</v>
      </c>
      <c r="E616" s="1" t="s">
        <v>107</v>
      </c>
      <c r="F616">
        <v>1</v>
      </c>
      <c r="G616" s="1"/>
      <c r="H616" s="1" t="s">
        <v>442</v>
      </c>
      <c r="I616" s="1" t="s">
        <v>28</v>
      </c>
      <c r="J616" s="1" t="s">
        <v>31</v>
      </c>
      <c r="K616">
        <v>71</v>
      </c>
    </row>
    <row r="617" spans="1:11" x14ac:dyDescent="0.25">
      <c r="A617" s="18" t="str">
        <f xml:space="preserve">  MapNameLkup</f>
        <v>m_ofs_trex_ar_invoices</v>
      </c>
      <c r="B617" s="1" t="s">
        <v>98</v>
      </c>
      <c r="C617" s="1" t="s">
        <v>105</v>
      </c>
      <c r="D617" s="1" t="s">
        <v>1</v>
      </c>
      <c r="E617" s="1" t="s">
        <v>107</v>
      </c>
      <c r="F617">
        <v>1</v>
      </c>
      <c r="G617" s="1"/>
      <c r="H617" s="1" t="s">
        <v>502</v>
      </c>
      <c r="I617" s="1" t="s">
        <v>28</v>
      </c>
      <c r="J617" s="1" t="s">
        <v>31</v>
      </c>
      <c r="K617">
        <v>72</v>
      </c>
    </row>
    <row r="618" spans="1:11" x14ac:dyDescent="0.25">
      <c r="A618" s="18" t="str">
        <f xml:space="preserve">  MapNameLkup</f>
        <v>m_ofs_trex_ar_invoices</v>
      </c>
      <c r="B618" s="1" t="s">
        <v>98</v>
      </c>
      <c r="C618" s="1" t="s">
        <v>105</v>
      </c>
      <c r="D618" s="1" t="s">
        <v>1</v>
      </c>
      <c r="E618" s="1" t="s">
        <v>107</v>
      </c>
      <c r="F618">
        <v>1</v>
      </c>
      <c r="G618" s="1"/>
      <c r="H618" s="1" t="s">
        <v>503</v>
      </c>
      <c r="I618" s="1" t="s">
        <v>28</v>
      </c>
      <c r="J618" s="1" t="s">
        <v>31</v>
      </c>
      <c r="K618">
        <v>73</v>
      </c>
    </row>
    <row r="619" spans="1:11" x14ac:dyDescent="0.25">
      <c r="A619" s="18" t="str">
        <f xml:space="preserve">  MapNameLkup</f>
        <v>m_ofs_trex_ar_invoices</v>
      </c>
      <c r="B619" s="1" t="s">
        <v>98</v>
      </c>
      <c r="C619" s="1" t="s">
        <v>105</v>
      </c>
      <c r="D619" s="1" t="s">
        <v>1</v>
      </c>
      <c r="E619" s="1" t="s">
        <v>107</v>
      </c>
      <c r="F619">
        <v>1</v>
      </c>
      <c r="G619" s="1"/>
      <c r="H619" s="1" t="s">
        <v>504</v>
      </c>
      <c r="I619" s="1" t="s">
        <v>28</v>
      </c>
      <c r="J619" s="1" t="s">
        <v>31</v>
      </c>
      <c r="K619">
        <v>74</v>
      </c>
    </row>
    <row r="620" spans="1:11" x14ac:dyDescent="0.25">
      <c r="A620" s="18" t="str">
        <f xml:space="preserve">  MapNameLkup</f>
        <v>m_ofs_trex_ar_invoices</v>
      </c>
      <c r="B620" s="1" t="s">
        <v>98</v>
      </c>
      <c r="C620" s="1" t="s">
        <v>105</v>
      </c>
      <c r="D620" s="1" t="s">
        <v>1</v>
      </c>
      <c r="E620" s="1" t="s">
        <v>107</v>
      </c>
      <c r="F620">
        <v>1</v>
      </c>
      <c r="G620" s="1"/>
      <c r="H620" s="1" t="s">
        <v>505</v>
      </c>
      <c r="I620" s="1" t="s">
        <v>28</v>
      </c>
      <c r="J620" s="1" t="s">
        <v>31</v>
      </c>
      <c r="K620">
        <v>75</v>
      </c>
    </row>
    <row r="621" spans="1:11" x14ac:dyDescent="0.25">
      <c r="A621" s="18" t="str">
        <f xml:space="preserve">  MapNameLkup</f>
        <v>m_ofs_trex_ar_invoices</v>
      </c>
      <c r="B621" s="1" t="s">
        <v>98</v>
      </c>
      <c r="C621" s="1" t="s">
        <v>105</v>
      </c>
      <c r="D621" s="1" t="s">
        <v>1</v>
      </c>
      <c r="E621" s="1" t="s">
        <v>107</v>
      </c>
      <c r="F621">
        <v>1</v>
      </c>
      <c r="G621" s="1"/>
      <c r="H621" s="1" t="s">
        <v>506</v>
      </c>
      <c r="I621" s="1" t="s">
        <v>28</v>
      </c>
      <c r="J621" s="1" t="s">
        <v>31</v>
      </c>
      <c r="K621">
        <v>76</v>
      </c>
    </row>
    <row r="622" spans="1:11" x14ac:dyDescent="0.25">
      <c r="A622" s="18" t="str">
        <f xml:space="preserve">  MapNameLkup</f>
        <v>m_ofs_trex_ar_invoices</v>
      </c>
      <c r="B622" s="1" t="s">
        <v>98</v>
      </c>
      <c r="C622" s="1" t="s">
        <v>105</v>
      </c>
      <c r="D622" s="1" t="s">
        <v>1</v>
      </c>
      <c r="E622" s="1" t="s">
        <v>107</v>
      </c>
      <c r="F622">
        <v>1</v>
      </c>
      <c r="G622" s="1"/>
      <c r="H622" s="1" t="s">
        <v>507</v>
      </c>
      <c r="I622" s="1" t="s">
        <v>28</v>
      </c>
      <c r="J622" s="1" t="s">
        <v>31</v>
      </c>
      <c r="K622">
        <v>77</v>
      </c>
    </row>
    <row r="623" spans="1:11" x14ac:dyDescent="0.25">
      <c r="A623" s="18" t="str">
        <f xml:space="preserve">  MapNameLkup</f>
        <v>m_ofs_trex_ar_invoices</v>
      </c>
      <c r="B623" s="1" t="s">
        <v>98</v>
      </c>
      <c r="C623" s="1" t="s">
        <v>105</v>
      </c>
      <c r="D623" s="1" t="s">
        <v>1</v>
      </c>
      <c r="E623" s="1" t="s">
        <v>107</v>
      </c>
      <c r="F623">
        <v>1</v>
      </c>
      <c r="G623" s="1"/>
      <c r="H623" s="1" t="s">
        <v>508</v>
      </c>
      <c r="I623" s="1" t="s">
        <v>28</v>
      </c>
      <c r="J623" s="1" t="s">
        <v>31</v>
      </c>
      <c r="K623">
        <v>78</v>
      </c>
    </row>
    <row r="624" spans="1:11" x14ac:dyDescent="0.25">
      <c r="A624" s="18" t="str">
        <f xml:space="preserve">  MapNameLkup</f>
        <v>m_ofs_trex_ar_invoices</v>
      </c>
      <c r="B624" s="1" t="s">
        <v>98</v>
      </c>
      <c r="C624" s="1" t="s">
        <v>105</v>
      </c>
      <c r="D624" s="1" t="s">
        <v>1</v>
      </c>
      <c r="E624" s="1" t="s">
        <v>107</v>
      </c>
      <c r="F624">
        <v>1</v>
      </c>
      <c r="G624" s="1"/>
      <c r="H624" s="1" t="s">
        <v>509</v>
      </c>
      <c r="I624" s="1" t="s">
        <v>28</v>
      </c>
      <c r="J624" s="1" t="s">
        <v>31</v>
      </c>
      <c r="K624">
        <v>79</v>
      </c>
    </row>
    <row r="625" spans="1:11" x14ac:dyDescent="0.25">
      <c r="A625" s="18" t="str">
        <f xml:space="preserve">  MapNameLkup</f>
        <v>m_ofs_trex_ar_invoices</v>
      </c>
      <c r="B625" s="1" t="s">
        <v>99</v>
      </c>
      <c r="C625" s="1" t="s">
        <v>105</v>
      </c>
      <c r="D625" s="1" t="s">
        <v>1</v>
      </c>
      <c r="E625" s="1" t="s">
        <v>109</v>
      </c>
      <c r="F625">
        <v>1</v>
      </c>
      <c r="G625" s="1"/>
      <c r="H625" s="1" t="s">
        <v>510</v>
      </c>
      <c r="I625" s="1" t="s">
        <v>28</v>
      </c>
      <c r="J625" s="1" t="s">
        <v>32</v>
      </c>
      <c r="K625">
        <v>1</v>
      </c>
    </row>
    <row r="626" spans="1:11" x14ac:dyDescent="0.25">
      <c r="A626" s="18" t="str">
        <f xml:space="preserve">  MapNameLkup</f>
        <v>m_ofs_trex_ar_invoices</v>
      </c>
      <c r="B626" s="1" t="s">
        <v>99</v>
      </c>
      <c r="C626" s="1" t="s">
        <v>105</v>
      </c>
      <c r="D626" s="1" t="s">
        <v>1</v>
      </c>
      <c r="E626" s="1" t="s">
        <v>109</v>
      </c>
      <c r="F626">
        <v>1</v>
      </c>
      <c r="G626" s="1"/>
      <c r="H626" s="1" t="s">
        <v>511</v>
      </c>
      <c r="I626" s="1" t="s">
        <v>28</v>
      </c>
      <c r="J626" s="1" t="s">
        <v>32</v>
      </c>
      <c r="K626">
        <v>2</v>
      </c>
    </row>
    <row r="627" spans="1:11" x14ac:dyDescent="0.25">
      <c r="A627" s="18" t="str">
        <f xml:space="preserve">  MapNameLkup</f>
        <v>m_ofs_trex_ar_invoices</v>
      </c>
      <c r="B627" s="1" t="s">
        <v>99</v>
      </c>
      <c r="C627" s="1" t="s">
        <v>105</v>
      </c>
      <c r="D627" s="1" t="s">
        <v>1</v>
      </c>
      <c r="E627" s="1" t="s">
        <v>109</v>
      </c>
      <c r="F627">
        <v>1</v>
      </c>
      <c r="G627" s="1"/>
      <c r="H627" s="1" t="s">
        <v>154</v>
      </c>
      <c r="I627" s="1" t="s">
        <v>28</v>
      </c>
      <c r="J627" s="1" t="s">
        <v>31</v>
      </c>
      <c r="K627">
        <v>3</v>
      </c>
    </row>
    <row r="628" spans="1:11" x14ac:dyDescent="0.25">
      <c r="A628" s="18" t="str">
        <f xml:space="preserve">  MapNameLkup</f>
        <v>m_ofs_trex_ar_invoices</v>
      </c>
      <c r="B628" s="1" t="s">
        <v>100</v>
      </c>
      <c r="C628" s="1" t="s">
        <v>105</v>
      </c>
      <c r="D628" s="1" t="s">
        <v>1</v>
      </c>
      <c r="E628" s="1" t="s">
        <v>110</v>
      </c>
      <c r="F628">
        <v>1</v>
      </c>
      <c r="G628" s="1"/>
      <c r="H628" s="1" t="s">
        <v>512</v>
      </c>
      <c r="I628" s="1" t="s">
        <v>28</v>
      </c>
      <c r="J628" s="1" t="s">
        <v>32</v>
      </c>
      <c r="K628">
        <v>1</v>
      </c>
    </row>
    <row r="629" spans="1:11" x14ac:dyDescent="0.25">
      <c r="A629" s="18" t="str">
        <f xml:space="preserve">  MapNameLkup</f>
        <v>m_ofs_trex_ar_invoices</v>
      </c>
      <c r="B629" s="1" t="s">
        <v>100</v>
      </c>
      <c r="C629" s="1" t="s">
        <v>105</v>
      </c>
      <c r="D629" s="1" t="s">
        <v>1</v>
      </c>
      <c r="E629" s="1" t="s">
        <v>110</v>
      </c>
      <c r="F629">
        <v>1</v>
      </c>
      <c r="G629" s="1"/>
      <c r="H629" s="1" t="s">
        <v>513</v>
      </c>
      <c r="I629" s="1" t="s">
        <v>28</v>
      </c>
      <c r="J629" s="1" t="s">
        <v>32</v>
      </c>
      <c r="K629">
        <v>2</v>
      </c>
    </row>
    <row r="630" spans="1:11" x14ac:dyDescent="0.25">
      <c r="A630" s="18" t="str">
        <f xml:space="preserve">  MapNameLkup</f>
        <v>m_ofs_trex_ar_invoices</v>
      </c>
      <c r="B630" s="1" t="s">
        <v>100</v>
      </c>
      <c r="C630" s="1" t="s">
        <v>105</v>
      </c>
      <c r="D630" s="1" t="s">
        <v>1</v>
      </c>
      <c r="E630" s="1" t="s">
        <v>110</v>
      </c>
      <c r="F630">
        <v>1</v>
      </c>
      <c r="G630" s="1"/>
      <c r="H630" s="1" t="s">
        <v>154</v>
      </c>
      <c r="I630" s="1" t="s">
        <v>28</v>
      </c>
      <c r="J630" s="1" t="s">
        <v>32</v>
      </c>
      <c r="K630">
        <v>3</v>
      </c>
    </row>
    <row r="631" spans="1:11" x14ac:dyDescent="0.25">
      <c r="A631" s="18" t="str">
        <f xml:space="preserve">  MapNameLkup</f>
        <v>m_ofs_trex_ar_invoices</v>
      </c>
      <c r="B631" s="1" t="s">
        <v>100</v>
      </c>
      <c r="C631" s="1" t="s">
        <v>105</v>
      </c>
      <c r="D631" s="1" t="s">
        <v>1</v>
      </c>
      <c r="E631" s="1" t="s">
        <v>110</v>
      </c>
      <c r="F631">
        <v>1</v>
      </c>
      <c r="G631" s="1"/>
      <c r="H631" s="1" t="s">
        <v>155</v>
      </c>
      <c r="I631" s="1" t="s">
        <v>28</v>
      </c>
      <c r="J631" s="1" t="s">
        <v>32</v>
      </c>
      <c r="K631">
        <v>4</v>
      </c>
    </row>
    <row r="632" spans="1:11" x14ac:dyDescent="0.25">
      <c r="A632" s="18" t="str">
        <f xml:space="preserve">  MapNameLkup</f>
        <v>m_ofs_trex_ar_invoices</v>
      </c>
      <c r="B632" s="1" t="s">
        <v>100</v>
      </c>
      <c r="C632" s="1" t="s">
        <v>105</v>
      </c>
      <c r="D632" s="1" t="s">
        <v>1</v>
      </c>
      <c r="E632" s="1" t="s">
        <v>110</v>
      </c>
      <c r="F632">
        <v>1</v>
      </c>
      <c r="G632" s="1"/>
      <c r="H632" s="1" t="s">
        <v>156</v>
      </c>
      <c r="I632" s="1" t="s">
        <v>28</v>
      </c>
      <c r="J632" s="1" t="s">
        <v>32</v>
      </c>
      <c r="K632">
        <v>5</v>
      </c>
    </row>
    <row r="633" spans="1:11" x14ac:dyDescent="0.25">
      <c r="A633" s="18" t="str">
        <f xml:space="preserve">  MapNameLkup</f>
        <v>m_ofs_trex_ar_invoices</v>
      </c>
      <c r="B633" s="1" t="s">
        <v>100</v>
      </c>
      <c r="C633" s="1" t="s">
        <v>105</v>
      </c>
      <c r="D633" s="1" t="s">
        <v>1</v>
      </c>
      <c r="E633" s="1" t="s">
        <v>110</v>
      </c>
      <c r="F633">
        <v>1</v>
      </c>
      <c r="G633" s="1"/>
      <c r="H633" s="1" t="s">
        <v>157</v>
      </c>
      <c r="I633" s="1" t="s">
        <v>28</v>
      </c>
      <c r="J633" s="1" t="s">
        <v>32</v>
      </c>
      <c r="K633">
        <v>6</v>
      </c>
    </row>
    <row r="634" spans="1:11" x14ac:dyDescent="0.25">
      <c r="A634" s="18" t="str">
        <f xml:space="preserve">  MapNameLkup</f>
        <v>m_ofs_trex_ar_invoices</v>
      </c>
      <c r="B634" s="1" t="s">
        <v>100</v>
      </c>
      <c r="C634" s="1" t="s">
        <v>105</v>
      </c>
      <c r="D634" s="1" t="s">
        <v>1</v>
      </c>
      <c r="E634" s="1" t="s">
        <v>110</v>
      </c>
      <c r="F634">
        <v>1</v>
      </c>
      <c r="G634" s="1"/>
      <c r="H634" s="1" t="s">
        <v>158</v>
      </c>
      <c r="I634" s="1" t="s">
        <v>28</v>
      </c>
      <c r="J634" s="1" t="s">
        <v>31</v>
      </c>
      <c r="K634">
        <v>7</v>
      </c>
    </row>
    <row r="635" spans="1:11" x14ac:dyDescent="0.25">
      <c r="A635" s="18" t="str">
        <f xml:space="preserve">  MapNameLkup</f>
        <v>m_ofs_trex_ar_invoices</v>
      </c>
      <c r="B635" s="1" t="s">
        <v>100</v>
      </c>
      <c r="C635" s="1" t="s">
        <v>105</v>
      </c>
      <c r="D635" s="1" t="s">
        <v>1</v>
      </c>
      <c r="E635" s="1" t="s">
        <v>110</v>
      </c>
      <c r="F635">
        <v>1</v>
      </c>
      <c r="G635" s="1"/>
      <c r="H635" s="1" t="s">
        <v>514</v>
      </c>
      <c r="I635" s="1" t="s">
        <v>28</v>
      </c>
      <c r="J635" s="1" t="s">
        <v>32</v>
      </c>
      <c r="K635">
        <v>8</v>
      </c>
    </row>
    <row r="636" spans="1:11" x14ac:dyDescent="0.25">
      <c r="A636" s="18" t="str">
        <f xml:space="preserve">  MapNameLkup</f>
        <v>m_ofs_trex_ar_invoices</v>
      </c>
      <c r="B636" s="1" t="s">
        <v>100</v>
      </c>
      <c r="C636" s="1" t="s">
        <v>105</v>
      </c>
      <c r="D636" s="1" t="s">
        <v>1</v>
      </c>
      <c r="E636" s="1" t="s">
        <v>110</v>
      </c>
      <c r="F636">
        <v>1</v>
      </c>
      <c r="G636" s="1"/>
      <c r="H636" s="1" t="s">
        <v>515</v>
      </c>
      <c r="I636" s="1" t="s">
        <v>28</v>
      </c>
      <c r="J636" s="1" t="s">
        <v>32</v>
      </c>
      <c r="K636">
        <v>9</v>
      </c>
    </row>
    <row r="637" spans="1:11" x14ac:dyDescent="0.25">
      <c r="A637" s="18" t="str">
        <f xml:space="preserve">  MapNameLkup</f>
        <v>m_ofs_trex_ar_invoices</v>
      </c>
      <c r="B637" s="1" t="s">
        <v>100</v>
      </c>
      <c r="C637" s="1" t="s">
        <v>105</v>
      </c>
      <c r="D637" s="1" t="s">
        <v>1</v>
      </c>
      <c r="E637" s="1" t="s">
        <v>110</v>
      </c>
      <c r="F637">
        <v>1</v>
      </c>
      <c r="G637" s="1"/>
      <c r="H637" s="1" t="s">
        <v>516</v>
      </c>
      <c r="I637" s="1" t="s">
        <v>28</v>
      </c>
      <c r="J637" s="1" t="s">
        <v>32</v>
      </c>
      <c r="K637">
        <v>10</v>
      </c>
    </row>
    <row r="638" spans="1:11" x14ac:dyDescent="0.25">
      <c r="A638" s="18" t="str">
        <f xml:space="preserve">  MapNameLkup</f>
        <v>m_ofs_trex_ar_invoices</v>
      </c>
      <c r="B638" s="1" t="s">
        <v>100</v>
      </c>
      <c r="C638" s="1" t="s">
        <v>105</v>
      </c>
      <c r="D638" s="1" t="s">
        <v>1</v>
      </c>
      <c r="E638" s="1" t="s">
        <v>110</v>
      </c>
      <c r="F638">
        <v>1</v>
      </c>
      <c r="G638" s="1"/>
      <c r="H638" s="1" t="s">
        <v>204</v>
      </c>
      <c r="I638" s="1" t="s">
        <v>28</v>
      </c>
      <c r="J638" s="1" t="s">
        <v>32</v>
      </c>
      <c r="K638">
        <v>11</v>
      </c>
    </row>
    <row r="639" spans="1:11" x14ac:dyDescent="0.25">
      <c r="A639" s="18" t="str">
        <f xml:space="preserve">  MapNameLkup</f>
        <v>m_ofs_trex_ar_invoices</v>
      </c>
      <c r="B639" s="1" t="s">
        <v>100</v>
      </c>
      <c r="C639" s="1" t="s">
        <v>105</v>
      </c>
      <c r="D639" s="1" t="s">
        <v>1</v>
      </c>
      <c r="E639" s="1" t="s">
        <v>110</v>
      </c>
      <c r="F639">
        <v>1</v>
      </c>
      <c r="G639" s="1"/>
      <c r="H639" s="1" t="s">
        <v>186</v>
      </c>
      <c r="I639" s="1" t="s">
        <v>28</v>
      </c>
      <c r="J639" s="1" t="s">
        <v>31</v>
      </c>
      <c r="K639">
        <v>12</v>
      </c>
    </row>
    <row r="640" spans="1:11" x14ac:dyDescent="0.25">
      <c r="A640" s="18" t="str">
        <f xml:space="preserve">  MapNameLkup</f>
        <v>m_ofs_trex_ar_invoices</v>
      </c>
      <c r="B640" s="1" t="s">
        <v>100</v>
      </c>
      <c r="C640" s="1" t="s">
        <v>105</v>
      </c>
      <c r="D640" s="1" t="s">
        <v>1</v>
      </c>
      <c r="E640" s="1" t="s">
        <v>110</v>
      </c>
      <c r="F640">
        <v>1</v>
      </c>
      <c r="G640" s="1"/>
      <c r="H640" s="1" t="s">
        <v>2</v>
      </c>
      <c r="I640" s="1" t="s">
        <v>28</v>
      </c>
      <c r="J640" s="1" t="s">
        <v>31</v>
      </c>
      <c r="K640">
        <v>13</v>
      </c>
    </row>
    <row r="641" spans="1:11" x14ac:dyDescent="0.25">
      <c r="A641" s="18" t="str">
        <f xml:space="preserve">  MapNameLkup</f>
        <v>m_ofs_trex_ar_invoices</v>
      </c>
      <c r="B641" s="1" t="s">
        <v>100</v>
      </c>
      <c r="C641" s="1" t="s">
        <v>105</v>
      </c>
      <c r="D641" s="1" t="s">
        <v>1</v>
      </c>
      <c r="E641" s="1" t="s">
        <v>110</v>
      </c>
      <c r="F641">
        <v>1</v>
      </c>
      <c r="G641" s="1"/>
      <c r="H641" s="1" t="s">
        <v>517</v>
      </c>
      <c r="I641" s="1" t="s">
        <v>28</v>
      </c>
      <c r="J641" s="1" t="s">
        <v>31</v>
      </c>
      <c r="K641">
        <v>14</v>
      </c>
    </row>
    <row r="642" spans="1:11" x14ac:dyDescent="0.25">
      <c r="A642" s="18" t="str">
        <f xml:space="preserve">  MapNameLkup</f>
        <v>m_ofs_trex_ar_invoices</v>
      </c>
      <c r="B642" s="1" t="s">
        <v>100</v>
      </c>
      <c r="C642" s="1" t="s">
        <v>105</v>
      </c>
      <c r="D642" s="1" t="s">
        <v>1</v>
      </c>
      <c r="E642" s="1" t="s">
        <v>110</v>
      </c>
      <c r="F642">
        <v>1</v>
      </c>
      <c r="G642" s="1"/>
      <c r="H642" s="1" t="s">
        <v>518</v>
      </c>
      <c r="I642" s="1" t="s">
        <v>28</v>
      </c>
      <c r="J642" s="1" t="s">
        <v>31</v>
      </c>
      <c r="K642">
        <v>15</v>
      </c>
    </row>
    <row r="643" spans="1:11" x14ac:dyDescent="0.25">
      <c r="A643" s="18" t="str">
        <f xml:space="preserve">  MapNameLkup</f>
        <v>m_ofs_trex_ar_invoices</v>
      </c>
      <c r="B643" s="1" t="s">
        <v>100</v>
      </c>
      <c r="C643" s="1" t="s">
        <v>105</v>
      </c>
      <c r="D643" s="1" t="s">
        <v>1</v>
      </c>
      <c r="E643" s="1" t="s">
        <v>110</v>
      </c>
      <c r="F643">
        <v>1</v>
      </c>
      <c r="G643" s="1"/>
      <c r="H643" s="1" t="s">
        <v>519</v>
      </c>
      <c r="I643" s="1" t="s">
        <v>28</v>
      </c>
      <c r="J643" s="1" t="s">
        <v>31</v>
      </c>
      <c r="K643">
        <v>16</v>
      </c>
    </row>
    <row r="644" spans="1:11" x14ac:dyDescent="0.25">
      <c r="A644" s="18" t="str">
        <f xml:space="preserve">  MapNameLkup</f>
        <v>m_ofs_trex_ar_invoices</v>
      </c>
      <c r="B644" s="1" t="s">
        <v>100</v>
      </c>
      <c r="C644" s="1" t="s">
        <v>105</v>
      </c>
      <c r="D644" s="1" t="s">
        <v>1</v>
      </c>
      <c r="E644" s="1" t="s">
        <v>110</v>
      </c>
      <c r="F644">
        <v>1</v>
      </c>
      <c r="G644" s="1"/>
      <c r="H644" s="1" t="s">
        <v>520</v>
      </c>
      <c r="I644" s="1" t="s">
        <v>28</v>
      </c>
      <c r="J644" s="1" t="s">
        <v>31</v>
      </c>
      <c r="K644">
        <v>17</v>
      </c>
    </row>
    <row r="645" spans="1:11" x14ac:dyDescent="0.25">
      <c r="A645" s="18" t="str">
        <f xml:space="preserve">  MapNameLkup</f>
        <v>m_ofs_trex_ar_invoices</v>
      </c>
      <c r="B645" s="1" t="s">
        <v>100</v>
      </c>
      <c r="C645" s="1" t="s">
        <v>105</v>
      </c>
      <c r="D645" s="1" t="s">
        <v>1</v>
      </c>
      <c r="E645" s="1" t="s">
        <v>110</v>
      </c>
      <c r="F645">
        <v>1</v>
      </c>
      <c r="G645" s="1"/>
      <c r="H645" s="1" t="s">
        <v>521</v>
      </c>
      <c r="I645" s="1" t="s">
        <v>28</v>
      </c>
      <c r="J645" s="1" t="s">
        <v>31</v>
      </c>
      <c r="K645">
        <v>18</v>
      </c>
    </row>
    <row r="646" spans="1:11" x14ac:dyDescent="0.25">
      <c r="A646" s="18" t="str">
        <f xml:space="preserve">  MapNameLkup</f>
        <v>m_ofs_trex_ar_invoices</v>
      </c>
      <c r="B646" s="1" t="s">
        <v>100</v>
      </c>
      <c r="C646" s="1" t="s">
        <v>105</v>
      </c>
      <c r="D646" s="1" t="s">
        <v>1</v>
      </c>
      <c r="E646" s="1" t="s">
        <v>110</v>
      </c>
      <c r="F646">
        <v>1</v>
      </c>
      <c r="G646" s="1"/>
      <c r="H646" s="1" t="s">
        <v>522</v>
      </c>
      <c r="I646" s="1" t="s">
        <v>28</v>
      </c>
      <c r="J646" s="1" t="s">
        <v>31</v>
      </c>
      <c r="K646">
        <v>19</v>
      </c>
    </row>
    <row r="647" spans="1:11" x14ac:dyDescent="0.25">
      <c r="A647" s="18" t="str">
        <f xml:space="preserve">  MapNameLkup</f>
        <v>m_ofs_trex_ar_invoices</v>
      </c>
      <c r="B647" s="1" t="s">
        <v>100</v>
      </c>
      <c r="C647" s="1" t="s">
        <v>105</v>
      </c>
      <c r="D647" s="1" t="s">
        <v>1</v>
      </c>
      <c r="E647" s="1" t="s">
        <v>110</v>
      </c>
      <c r="F647">
        <v>1</v>
      </c>
      <c r="G647" s="1"/>
      <c r="H647" s="1" t="s">
        <v>523</v>
      </c>
      <c r="I647" s="1" t="s">
        <v>28</v>
      </c>
      <c r="J647" s="1" t="s">
        <v>31</v>
      </c>
      <c r="K647">
        <v>20</v>
      </c>
    </row>
    <row r="648" spans="1:11" x14ac:dyDescent="0.25">
      <c r="A648" s="18" t="str">
        <f xml:space="preserve">  MapNameLkup</f>
        <v>m_ofs_trex_ar_invoices</v>
      </c>
      <c r="B648" s="1" t="s">
        <v>100</v>
      </c>
      <c r="C648" s="1" t="s">
        <v>105</v>
      </c>
      <c r="D648" s="1" t="s">
        <v>1</v>
      </c>
      <c r="E648" s="1" t="s">
        <v>110</v>
      </c>
      <c r="F648">
        <v>1</v>
      </c>
      <c r="G648" s="1"/>
      <c r="H648" s="1" t="s">
        <v>524</v>
      </c>
      <c r="I648" s="1" t="s">
        <v>28</v>
      </c>
      <c r="J648" s="1" t="s">
        <v>31</v>
      </c>
      <c r="K648">
        <v>21</v>
      </c>
    </row>
    <row r="649" spans="1:11" x14ac:dyDescent="0.25">
      <c r="A649" s="18" t="str">
        <f xml:space="preserve">  MapNameLkup</f>
        <v>m_ofs_trex_ar_invoices</v>
      </c>
      <c r="B649" s="1" t="s">
        <v>100</v>
      </c>
      <c r="C649" s="1" t="s">
        <v>105</v>
      </c>
      <c r="D649" s="1" t="s">
        <v>1</v>
      </c>
      <c r="E649" s="1" t="s">
        <v>110</v>
      </c>
      <c r="F649">
        <v>1</v>
      </c>
      <c r="G649" s="1"/>
      <c r="H649" s="1" t="s">
        <v>324</v>
      </c>
      <c r="I649" s="1" t="s">
        <v>28</v>
      </c>
      <c r="J649" s="1" t="s">
        <v>31</v>
      </c>
      <c r="K649">
        <v>22</v>
      </c>
    </row>
    <row r="650" spans="1:11" x14ac:dyDescent="0.25">
      <c r="A650" s="18" t="str">
        <f xml:space="preserve">  MapNameLkup</f>
        <v>m_ofs_trex_ar_invoices</v>
      </c>
      <c r="B650" s="1" t="s">
        <v>100</v>
      </c>
      <c r="C650" s="1" t="s">
        <v>105</v>
      </c>
      <c r="D650" s="1" t="s">
        <v>1</v>
      </c>
      <c r="E650" s="1" t="s">
        <v>110</v>
      </c>
      <c r="F650">
        <v>1</v>
      </c>
      <c r="G650" s="1"/>
      <c r="H650" s="1" t="s">
        <v>525</v>
      </c>
      <c r="I650" s="1" t="s">
        <v>28</v>
      </c>
      <c r="J650" s="1" t="s">
        <v>31</v>
      </c>
      <c r="K650">
        <v>23</v>
      </c>
    </row>
    <row r="651" spans="1:11" x14ac:dyDescent="0.25">
      <c r="A651" s="18" t="str">
        <f xml:space="preserve">  MapNameLkup</f>
        <v>m_ofs_trex_ar_invoices</v>
      </c>
      <c r="B651" s="1" t="s">
        <v>100</v>
      </c>
      <c r="C651" s="1" t="s">
        <v>105</v>
      </c>
      <c r="D651" s="1" t="s">
        <v>1</v>
      </c>
      <c r="E651" s="1" t="s">
        <v>110</v>
      </c>
      <c r="F651">
        <v>1</v>
      </c>
      <c r="G651" s="1"/>
      <c r="H651" s="1" t="s">
        <v>526</v>
      </c>
      <c r="I651" s="1" t="s">
        <v>28</v>
      </c>
      <c r="J651" s="1" t="s">
        <v>31</v>
      </c>
      <c r="K651">
        <v>24</v>
      </c>
    </row>
    <row r="652" spans="1:11" x14ac:dyDescent="0.25">
      <c r="A652" s="18" t="str">
        <f xml:space="preserve">  MapNameLkup</f>
        <v>m_ofs_trex_ar_invoices</v>
      </c>
      <c r="B652" s="1" t="s">
        <v>100</v>
      </c>
      <c r="C652" s="1" t="s">
        <v>105</v>
      </c>
      <c r="D652" s="1" t="s">
        <v>1</v>
      </c>
      <c r="E652" s="1" t="s">
        <v>110</v>
      </c>
      <c r="F652">
        <v>1</v>
      </c>
      <c r="G652" s="1"/>
      <c r="H652" s="1" t="s">
        <v>527</v>
      </c>
      <c r="I652" s="1" t="s">
        <v>28</v>
      </c>
      <c r="J652" s="1" t="s">
        <v>31</v>
      </c>
      <c r="K652">
        <v>25</v>
      </c>
    </row>
    <row r="653" spans="1:11" x14ac:dyDescent="0.25">
      <c r="A653" s="18" t="str">
        <f xml:space="preserve">  MapNameLkup</f>
        <v>m_ofs_trex_ar_invoices</v>
      </c>
      <c r="B653" s="1" t="s">
        <v>100</v>
      </c>
      <c r="C653" s="1" t="s">
        <v>105</v>
      </c>
      <c r="D653" s="1" t="s">
        <v>1</v>
      </c>
      <c r="E653" s="1" t="s">
        <v>110</v>
      </c>
      <c r="F653">
        <v>1</v>
      </c>
      <c r="G653" s="1"/>
      <c r="H653" s="1" t="s">
        <v>528</v>
      </c>
      <c r="I653" s="1" t="s">
        <v>28</v>
      </c>
      <c r="J653" s="1" t="s">
        <v>31</v>
      </c>
      <c r="K653">
        <v>26</v>
      </c>
    </row>
    <row r="654" spans="1:11" x14ac:dyDescent="0.25">
      <c r="A654" s="18" t="str">
        <f xml:space="preserve">  MapNameLkup</f>
        <v>m_ofs_trex_ar_invoices</v>
      </c>
      <c r="B654" s="1" t="s">
        <v>100</v>
      </c>
      <c r="C654" s="1" t="s">
        <v>105</v>
      </c>
      <c r="D654" s="1" t="s">
        <v>1</v>
      </c>
      <c r="E654" s="1" t="s">
        <v>110</v>
      </c>
      <c r="F654">
        <v>1</v>
      </c>
      <c r="G654" s="1"/>
      <c r="H654" s="1" t="s">
        <v>529</v>
      </c>
      <c r="I654" s="1" t="s">
        <v>28</v>
      </c>
      <c r="J654" s="1" t="s">
        <v>31</v>
      </c>
      <c r="K654">
        <v>27</v>
      </c>
    </row>
    <row r="655" spans="1:11" x14ac:dyDescent="0.25">
      <c r="A655" s="18" t="str">
        <f xml:space="preserve">  MapNameLkup</f>
        <v>m_ofs_trex_ar_invoices</v>
      </c>
      <c r="B655" s="1" t="s">
        <v>101</v>
      </c>
      <c r="C655" s="1" t="s">
        <v>105</v>
      </c>
      <c r="D655" s="1" t="s">
        <v>1</v>
      </c>
      <c r="E655" s="1" t="s">
        <v>111</v>
      </c>
      <c r="F655">
        <v>1</v>
      </c>
      <c r="G655" s="1"/>
      <c r="H655" s="1" t="s">
        <v>404</v>
      </c>
      <c r="I655" s="1" t="s">
        <v>28</v>
      </c>
      <c r="J655" s="1" t="s">
        <v>32</v>
      </c>
      <c r="K655">
        <v>1</v>
      </c>
    </row>
    <row r="656" spans="1:11" x14ac:dyDescent="0.25">
      <c r="A656" s="18" t="str">
        <f xml:space="preserve">  MapNameLkup</f>
        <v>m_ofs_trex_ar_invoices</v>
      </c>
      <c r="B656" s="1" t="s">
        <v>101</v>
      </c>
      <c r="C656" s="1" t="s">
        <v>105</v>
      </c>
      <c r="D656" s="1" t="s">
        <v>1</v>
      </c>
      <c r="E656" s="1" t="s">
        <v>111</v>
      </c>
      <c r="F656">
        <v>1</v>
      </c>
      <c r="G656" s="1"/>
      <c r="H656" s="1" t="s">
        <v>154</v>
      </c>
      <c r="I656" s="1" t="s">
        <v>28</v>
      </c>
      <c r="J656" s="1" t="s">
        <v>32</v>
      </c>
      <c r="K656">
        <v>2</v>
      </c>
    </row>
    <row r="657" spans="1:11" x14ac:dyDescent="0.25">
      <c r="A657" s="18" t="str">
        <f xml:space="preserve">  MapNameLkup</f>
        <v>m_ofs_trex_ar_invoices</v>
      </c>
      <c r="B657" s="1" t="s">
        <v>101</v>
      </c>
      <c r="C657" s="1" t="s">
        <v>105</v>
      </c>
      <c r="D657" s="1" t="s">
        <v>1</v>
      </c>
      <c r="E657" s="1" t="s">
        <v>111</v>
      </c>
      <c r="F657">
        <v>1</v>
      </c>
      <c r="G657" s="1"/>
      <c r="H657" s="1" t="s">
        <v>155</v>
      </c>
      <c r="I657" s="1" t="s">
        <v>28</v>
      </c>
      <c r="J657" s="1" t="s">
        <v>32</v>
      </c>
      <c r="K657">
        <v>3</v>
      </c>
    </row>
    <row r="658" spans="1:11" x14ac:dyDescent="0.25">
      <c r="A658" s="18" t="str">
        <f xml:space="preserve">  MapNameLkup</f>
        <v>m_ofs_trex_ar_invoices</v>
      </c>
      <c r="B658" s="1" t="s">
        <v>101</v>
      </c>
      <c r="C658" s="1" t="s">
        <v>105</v>
      </c>
      <c r="D658" s="1" t="s">
        <v>1</v>
      </c>
      <c r="E658" s="1" t="s">
        <v>111</v>
      </c>
      <c r="F658">
        <v>1</v>
      </c>
      <c r="G658" s="1"/>
      <c r="H658" s="1" t="s">
        <v>530</v>
      </c>
      <c r="I658" s="1" t="s">
        <v>28</v>
      </c>
      <c r="J658" s="1" t="s">
        <v>32</v>
      </c>
      <c r="K658">
        <v>4</v>
      </c>
    </row>
    <row r="659" spans="1:11" x14ac:dyDescent="0.25">
      <c r="A659" s="18" t="str">
        <f xml:space="preserve">  MapNameLkup</f>
        <v>m_ofs_trex_ar_invoices</v>
      </c>
      <c r="B659" s="1" t="s">
        <v>101</v>
      </c>
      <c r="C659" s="1" t="s">
        <v>105</v>
      </c>
      <c r="D659" s="1" t="s">
        <v>1</v>
      </c>
      <c r="E659" s="1" t="s">
        <v>111</v>
      </c>
      <c r="F659">
        <v>1</v>
      </c>
      <c r="G659" s="1"/>
      <c r="H659" s="1" t="s">
        <v>531</v>
      </c>
      <c r="I659" s="1" t="s">
        <v>28</v>
      </c>
      <c r="J659" s="1" t="s">
        <v>32</v>
      </c>
      <c r="K659">
        <v>5</v>
      </c>
    </row>
    <row r="660" spans="1:11" x14ac:dyDescent="0.25">
      <c r="A660" s="18" t="str">
        <f xml:space="preserve">  MapNameLkup</f>
        <v>m_ofs_trex_ar_invoices</v>
      </c>
      <c r="B660" s="1" t="s">
        <v>101</v>
      </c>
      <c r="C660" s="1" t="s">
        <v>105</v>
      </c>
      <c r="D660" s="1" t="s">
        <v>1</v>
      </c>
      <c r="E660" s="1" t="s">
        <v>111</v>
      </c>
      <c r="F660">
        <v>1</v>
      </c>
      <c r="G660" s="1"/>
      <c r="H660" s="1" t="s">
        <v>532</v>
      </c>
      <c r="I660" s="1" t="s">
        <v>28</v>
      </c>
      <c r="J660" s="1" t="s">
        <v>32</v>
      </c>
      <c r="K660">
        <v>6</v>
      </c>
    </row>
    <row r="661" spans="1:11" x14ac:dyDescent="0.25">
      <c r="A661" s="18" t="str">
        <f xml:space="preserve">  MapNameLkup</f>
        <v>m_ofs_trex_ar_invoices</v>
      </c>
      <c r="B661" s="1" t="s">
        <v>101</v>
      </c>
      <c r="C661" s="1" t="s">
        <v>105</v>
      </c>
      <c r="D661" s="1" t="s">
        <v>1</v>
      </c>
      <c r="E661" s="1" t="s">
        <v>111</v>
      </c>
      <c r="F661">
        <v>1</v>
      </c>
      <c r="G661" s="1"/>
      <c r="H661" s="1" t="s">
        <v>533</v>
      </c>
      <c r="I661" s="1" t="s">
        <v>28</v>
      </c>
      <c r="J661" s="1" t="s">
        <v>32</v>
      </c>
      <c r="K661">
        <v>7</v>
      </c>
    </row>
    <row r="662" spans="1:11" x14ac:dyDescent="0.25">
      <c r="A662" s="18" t="str">
        <f xml:space="preserve">  MapNameLkup</f>
        <v>m_ofs_trex_ar_invoices</v>
      </c>
      <c r="B662" s="1" t="s">
        <v>101</v>
      </c>
      <c r="C662" s="1" t="s">
        <v>105</v>
      </c>
      <c r="D662" s="1" t="s">
        <v>1</v>
      </c>
      <c r="E662" s="1" t="s">
        <v>111</v>
      </c>
      <c r="F662">
        <v>1</v>
      </c>
      <c r="G662" s="1"/>
      <c r="H662" s="1" t="s">
        <v>265</v>
      </c>
      <c r="I662" s="1" t="s">
        <v>28</v>
      </c>
      <c r="J662" s="1" t="s">
        <v>32</v>
      </c>
      <c r="K662">
        <v>8</v>
      </c>
    </row>
    <row r="663" spans="1:11" x14ac:dyDescent="0.25">
      <c r="A663" s="18" t="str">
        <f xml:space="preserve">  MapNameLkup</f>
        <v>m_ofs_trex_ar_invoices</v>
      </c>
      <c r="B663" s="1" t="s">
        <v>101</v>
      </c>
      <c r="C663" s="1" t="s">
        <v>105</v>
      </c>
      <c r="D663" s="1" t="s">
        <v>1</v>
      </c>
      <c r="E663" s="1" t="s">
        <v>111</v>
      </c>
      <c r="F663">
        <v>1</v>
      </c>
      <c r="G663" s="1"/>
      <c r="H663" s="1" t="s">
        <v>266</v>
      </c>
      <c r="I663" s="1" t="s">
        <v>28</v>
      </c>
      <c r="J663" s="1" t="s">
        <v>32</v>
      </c>
      <c r="K663">
        <v>9</v>
      </c>
    </row>
    <row r="664" spans="1:11" x14ac:dyDescent="0.25">
      <c r="A664" s="18" t="str">
        <f xml:space="preserve">  MapNameLkup</f>
        <v>m_ofs_trex_ar_invoices</v>
      </c>
      <c r="B664" s="1" t="s">
        <v>101</v>
      </c>
      <c r="C664" s="1" t="s">
        <v>105</v>
      </c>
      <c r="D664" s="1" t="s">
        <v>1</v>
      </c>
      <c r="E664" s="1" t="s">
        <v>111</v>
      </c>
      <c r="F664">
        <v>1</v>
      </c>
      <c r="G664" s="1"/>
      <c r="H664" s="1" t="s">
        <v>534</v>
      </c>
      <c r="I664" s="1" t="s">
        <v>28</v>
      </c>
      <c r="J664" s="1" t="s">
        <v>31</v>
      </c>
      <c r="K664">
        <v>10</v>
      </c>
    </row>
    <row r="665" spans="1:11" x14ac:dyDescent="0.25">
      <c r="A665" s="18" t="str">
        <f xml:space="preserve">  MapNameLkup</f>
        <v>m_ofs_trex_ar_invoices</v>
      </c>
      <c r="B665" s="1" t="s">
        <v>101</v>
      </c>
      <c r="C665" s="1" t="s">
        <v>105</v>
      </c>
      <c r="D665" s="1" t="s">
        <v>1</v>
      </c>
      <c r="E665" s="1" t="s">
        <v>111</v>
      </c>
      <c r="F665">
        <v>1</v>
      </c>
      <c r="G665" s="1"/>
      <c r="H665" s="1" t="s">
        <v>535</v>
      </c>
      <c r="I665" s="1" t="s">
        <v>28</v>
      </c>
      <c r="J665" s="1" t="s">
        <v>31</v>
      </c>
      <c r="K665">
        <v>11</v>
      </c>
    </row>
    <row r="666" spans="1:11" x14ac:dyDescent="0.25">
      <c r="A666" s="18" t="str">
        <f xml:space="preserve">  MapNameLkup</f>
        <v>m_ofs_trex_ar_invoices</v>
      </c>
      <c r="B666" s="1" t="s">
        <v>101</v>
      </c>
      <c r="C666" s="1" t="s">
        <v>105</v>
      </c>
      <c r="D666" s="1" t="s">
        <v>1</v>
      </c>
      <c r="E666" s="1" t="s">
        <v>111</v>
      </c>
      <c r="F666">
        <v>1</v>
      </c>
      <c r="G666" s="1"/>
      <c r="H666" s="1" t="s">
        <v>536</v>
      </c>
      <c r="I666" s="1" t="s">
        <v>28</v>
      </c>
      <c r="J666" s="1" t="s">
        <v>31</v>
      </c>
      <c r="K666">
        <v>12</v>
      </c>
    </row>
    <row r="667" spans="1:11" x14ac:dyDescent="0.25">
      <c r="A667" s="18" t="str">
        <f xml:space="preserve">  MapNameLkup</f>
        <v>m_ofs_trex_ar_invoices</v>
      </c>
      <c r="B667" s="1" t="s">
        <v>101</v>
      </c>
      <c r="C667" s="1" t="s">
        <v>105</v>
      </c>
      <c r="D667" s="1" t="s">
        <v>1</v>
      </c>
      <c r="E667" s="1" t="s">
        <v>111</v>
      </c>
      <c r="F667">
        <v>1</v>
      </c>
      <c r="G667" s="1"/>
      <c r="H667" s="1" t="s">
        <v>537</v>
      </c>
      <c r="I667" s="1" t="s">
        <v>28</v>
      </c>
      <c r="J667" s="1" t="s">
        <v>31</v>
      </c>
      <c r="K667">
        <v>13</v>
      </c>
    </row>
    <row r="668" spans="1:11" x14ac:dyDescent="0.25">
      <c r="A668" s="18" t="str">
        <f xml:space="preserve">  MapNameLkup</f>
        <v>m_ofs_trex_ar_invoices</v>
      </c>
      <c r="B668" s="1" t="s">
        <v>101</v>
      </c>
      <c r="C668" s="1" t="s">
        <v>105</v>
      </c>
      <c r="D668" s="1" t="s">
        <v>1</v>
      </c>
      <c r="E668" s="1" t="s">
        <v>111</v>
      </c>
      <c r="F668">
        <v>1</v>
      </c>
      <c r="G668" s="1"/>
      <c r="H668" s="1" t="s">
        <v>538</v>
      </c>
      <c r="I668" s="1" t="s">
        <v>28</v>
      </c>
      <c r="J668" s="1" t="s">
        <v>31</v>
      </c>
      <c r="K668">
        <v>14</v>
      </c>
    </row>
    <row r="669" spans="1:11" x14ac:dyDescent="0.25">
      <c r="A669" s="18" t="str">
        <f xml:space="preserve">  MapNameLkup</f>
        <v>m_ofs_trex_ar_invoices</v>
      </c>
      <c r="B669" s="1" t="s">
        <v>101</v>
      </c>
      <c r="C669" s="1" t="s">
        <v>105</v>
      </c>
      <c r="D669" s="1" t="s">
        <v>1</v>
      </c>
      <c r="E669" s="1" t="s">
        <v>111</v>
      </c>
      <c r="F669">
        <v>1</v>
      </c>
      <c r="G669" s="1"/>
      <c r="H669" s="1" t="s">
        <v>539</v>
      </c>
      <c r="I669" s="1" t="s">
        <v>28</v>
      </c>
      <c r="J669" s="1" t="s">
        <v>31</v>
      </c>
      <c r="K669">
        <v>15</v>
      </c>
    </row>
    <row r="670" spans="1:11" x14ac:dyDescent="0.25">
      <c r="A670" s="18" t="str">
        <f xml:space="preserve">  MapNameLkup</f>
        <v>m_ofs_trex_ar_invoices</v>
      </c>
      <c r="B670" s="1" t="s">
        <v>101</v>
      </c>
      <c r="C670" s="1" t="s">
        <v>105</v>
      </c>
      <c r="D670" s="1" t="s">
        <v>1</v>
      </c>
      <c r="E670" s="1" t="s">
        <v>111</v>
      </c>
      <c r="F670">
        <v>1</v>
      </c>
      <c r="G670" s="1"/>
      <c r="H670" s="1" t="s">
        <v>540</v>
      </c>
      <c r="I670" s="1" t="s">
        <v>28</v>
      </c>
      <c r="J670" s="1" t="s">
        <v>31</v>
      </c>
      <c r="K670">
        <v>16</v>
      </c>
    </row>
    <row r="671" spans="1:11" x14ac:dyDescent="0.25">
      <c r="A671" s="18" t="str">
        <f xml:space="preserve">  MapNameLkup</f>
        <v>m_ofs_trex_ar_invoices</v>
      </c>
      <c r="B671" s="1" t="s">
        <v>101</v>
      </c>
      <c r="C671" s="1" t="s">
        <v>105</v>
      </c>
      <c r="D671" s="1" t="s">
        <v>1</v>
      </c>
      <c r="E671" s="1" t="s">
        <v>111</v>
      </c>
      <c r="F671">
        <v>1</v>
      </c>
      <c r="G671" s="1"/>
      <c r="H671" s="1" t="s">
        <v>541</v>
      </c>
      <c r="I671" s="1" t="s">
        <v>28</v>
      </c>
      <c r="J671" s="1" t="s">
        <v>31</v>
      </c>
      <c r="K671">
        <v>17</v>
      </c>
    </row>
    <row r="672" spans="1:11" x14ac:dyDescent="0.25">
      <c r="A672" s="18" t="str">
        <f xml:space="preserve">  MapNameLkup</f>
        <v>m_ofs_trex_ar_invoices</v>
      </c>
      <c r="B672" s="1" t="s">
        <v>101</v>
      </c>
      <c r="C672" s="1" t="s">
        <v>105</v>
      </c>
      <c r="D672" s="1" t="s">
        <v>1</v>
      </c>
      <c r="E672" s="1" t="s">
        <v>111</v>
      </c>
      <c r="F672">
        <v>1</v>
      </c>
      <c r="G672" s="1"/>
      <c r="H672" s="1" t="s">
        <v>542</v>
      </c>
      <c r="I672" s="1" t="s">
        <v>28</v>
      </c>
      <c r="J672" s="1" t="s">
        <v>31</v>
      </c>
      <c r="K672">
        <v>18</v>
      </c>
    </row>
    <row r="673" spans="1:11" x14ac:dyDescent="0.25">
      <c r="A673" s="18" t="str">
        <f xml:space="preserve">  MapNameLkup</f>
        <v>m_ofs_trex_ar_invoices</v>
      </c>
      <c r="B673" s="1" t="s">
        <v>101</v>
      </c>
      <c r="C673" s="1" t="s">
        <v>105</v>
      </c>
      <c r="D673" s="1" t="s">
        <v>1</v>
      </c>
      <c r="E673" s="1" t="s">
        <v>111</v>
      </c>
      <c r="F673">
        <v>1</v>
      </c>
      <c r="G673" s="1"/>
      <c r="H673" s="1" t="s">
        <v>543</v>
      </c>
      <c r="I673" s="1" t="s">
        <v>28</v>
      </c>
      <c r="J673" s="1" t="s">
        <v>31</v>
      </c>
      <c r="K673">
        <v>19</v>
      </c>
    </row>
    <row r="674" spans="1:11" x14ac:dyDescent="0.25">
      <c r="A674" s="18" t="str">
        <f xml:space="preserve">  MapNameLkup</f>
        <v>m_ofs_trex_ar_invoices</v>
      </c>
      <c r="B674" s="1" t="s">
        <v>101</v>
      </c>
      <c r="C674" s="1" t="s">
        <v>105</v>
      </c>
      <c r="D674" s="1" t="s">
        <v>1</v>
      </c>
      <c r="E674" s="1" t="s">
        <v>111</v>
      </c>
      <c r="F674">
        <v>1</v>
      </c>
      <c r="G674" s="1"/>
      <c r="H674" s="1" t="s">
        <v>544</v>
      </c>
      <c r="I674" s="1" t="s">
        <v>28</v>
      </c>
      <c r="J674" s="1" t="s">
        <v>31</v>
      </c>
      <c r="K674">
        <v>20</v>
      </c>
    </row>
    <row r="675" spans="1:11" x14ac:dyDescent="0.25">
      <c r="A675" s="18" t="str">
        <f xml:space="preserve">  MapNameLkup</f>
        <v>m_ofs_trex_ar_invoices</v>
      </c>
      <c r="B675" s="1" t="s">
        <v>101</v>
      </c>
      <c r="C675" s="1" t="s">
        <v>105</v>
      </c>
      <c r="D675" s="1" t="s">
        <v>1</v>
      </c>
      <c r="E675" s="1" t="s">
        <v>111</v>
      </c>
      <c r="F675">
        <v>1</v>
      </c>
      <c r="G675" s="1"/>
      <c r="H675" s="1" t="s">
        <v>545</v>
      </c>
      <c r="I675" s="1" t="s">
        <v>28</v>
      </c>
      <c r="J675" s="1" t="s">
        <v>31</v>
      </c>
      <c r="K675">
        <v>21</v>
      </c>
    </row>
    <row r="676" spans="1:11" x14ac:dyDescent="0.25">
      <c r="A676" s="18" t="str">
        <f xml:space="preserve">  MapNameLkup</f>
        <v>m_ofs_trex_ar_invoices</v>
      </c>
      <c r="B676" s="1" t="s">
        <v>101</v>
      </c>
      <c r="C676" s="1" t="s">
        <v>105</v>
      </c>
      <c r="D676" s="1" t="s">
        <v>1</v>
      </c>
      <c r="E676" s="1" t="s">
        <v>111</v>
      </c>
      <c r="F676">
        <v>1</v>
      </c>
      <c r="G676" s="1"/>
      <c r="H676" s="1" t="s">
        <v>546</v>
      </c>
      <c r="I676" s="1" t="s">
        <v>28</v>
      </c>
      <c r="J676" s="1" t="s">
        <v>31</v>
      </c>
      <c r="K676">
        <v>22</v>
      </c>
    </row>
    <row r="677" spans="1:11" x14ac:dyDescent="0.25">
      <c r="A677" s="18" t="str">
        <f xml:space="preserve">  MapNameLkup</f>
        <v>m_ofs_trex_ar_invoices</v>
      </c>
      <c r="B677" s="1" t="s">
        <v>101</v>
      </c>
      <c r="C677" s="1" t="s">
        <v>105</v>
      </c>
      <c r="D677" s="1" t="s">
        <v>1</v>
      </c>
      <c r="E677" s="1" t="s">
        <v>111</v>
      </c>
      <c r="F677">
        <v>1</v>
      </c>
      <c r="G677" s="1"/>
      <c r="H677" s="1" t="s">
        <v>547</v>
      </c>
      <c r="I677" s="1" t="s">
        <v>28</v>
      </c>
      <c r="J677" s="1" t="s">
        <v>31</v>
      </c>
      <c r="K677">
        <v>23</v>
      </c>
    </row>
    <row r="678" spans="1:11" x14ac:dyDescent="0.25">
      <c r="A678" s="18" t="str">
        <f xml:space="preserve">  MapNameLkup</f>
        <v>m_ofs_trex_ar_invoices</v>
      </c>
      <c r="B678" s="1" t="s">
        <v>101</v>
      </c>
      <c r="C678" s="1" t="s">
        <v>105</v>
      </c>
      <c r="D678" s="1" t="s">
        <v>1</v>
      </c>
      <c r="E678" s="1" t="s">
        <v>111</v>
      </c>
      <c r="F678">
        <v>1</v>
      </c>
      <c r="G678" s="1"/>
      <c r="H678" s="1" t="s">
        <v>548</v>
      </c>
      <c r="I678" s="1" t="s">
        <v>28</v>
      </c>
      <c r="J678" s="1" t="s">
        <v>31</v>
      </c>
      <c r="K678">
        <v>24</v>
      </c>
    </row>
    <row r="679" spans="1:11" x14ac:dyDescent="0.25">
      <c r="A679" s="18" t="str">
        <f xml:space="preserve">  MapNameLkup</f>
        <v>m_ofs_trex_ar_invoices</v>
      </c>
      <c r="B679" s="1" t="s">
        <v>101</v>
      </c>
      <c r="C679" s="1" t="s">
        <v>105</v>
      </c>
      <c r="D679" s="1" t="s">
        <v>1</v>
      </c>
      <c r="E679" s="1" t="s">
        <v>111</v>
      </c>
      <c r="F679">
        <v>1</v>
      </c>
      <c r="G679" s="1"/>
      <c r="H679" s="1" t="s">
        <v>549</v>
      </c>
      <c r="I679" s="1" t="s">
        <v>28</v>
      </c>
      <c r="J679" s="1" t="s">
        <v>31</v>
      </c>
      <c r="K679">
        <v>25</v>
      </c>
    </row>
    <row r="680" spans="1:11" x14ac:dyDescent="0.25">
      <c r="A680" s="18" t="str">
        <f xml:space="preserve">  MapNameLkup</f>
        <v>m_ofs_trex_ar_invoices</v>
      </c>
      <c r="B680" s="1" t="s">
        <v>101</v>
      </c>
      <c r="C680" s="1" t="s">
        <v>105</v>
      </c>
      <c r="D680" s="1" t="s">
        <v>1</v>
      </c>
      <c r="E680" s="1" t="s">
        <v>111</v>
      </c>
      <c r="F680">
        <v>1</v>
      </c>
      <c r="G680" s="1"/>
      <c r="H680" s="1" t="s">
        <v>550</v>
      </c>
      <c r="I680" s="1" t="s">
        <v>28</v>
      </c>
      <c r="J680" s="1" t="s">
        <v>31</v>
      </c>
      <c r="K680">
        <v>26</v>
      </c>
    </row>
    <row r="681" spans="1:11" x14ac:dyDescent="0.25">
      <c r="A681" s="18" t="str">
        <f xml:space="preserve">  MapNameLkup</f>
        <v>m_ofs_trex_ar_invoices</v>
      </c>
      <c r="B681" s="1" t="s">
        <v>101</v>
      </c>
      <c r="C681" s="1" t="s">
        <v>105</v>
      </c>
      <c r="D681" s="1" t="s">
        <v>1</v>
      </c>
      <c r="E681" s="1" t="s">
        <v>111</v>
      </c>
      <c r="F681">
        <v>1</v>
      </c>
      <c r="G681" s="1"/>
      <c r="H681" s="1" t="s">
        <v>551</v>
      </c>
      <c r="I681" s="1" t="s">
        <v>28</v>
      </c>
      <c r="J681" s="1" t="s">
        <v>31</v>
      </c>
      <c r="K681">
        <v>27</v>
      </c>
    </row>
    <row r="682" spans="1:11" x14ac:dyDescent="0.25">
      <c r="A682" s="18" t="str">
        <f xml:space="preserve">  MapNameLkup</f>
        <v>m_ofs_trex_ar_invoices</v>
      </c>
      <c r="B682" s="1" t="s">
        <v>101</v>
      </c>
      <c r="C682" s="1" t="s">
        <v>105</v>
      </c>
      <c r="D682" s="1" t="s">
        <v>1</v>
      </c>
      <c r="E682" s="1" t="s">
        <v>111</v>
      </c>
      <c r="F682">
        <v>1</v>
      </c>
      <c r="G682" s="1"/>
      <c r="H682" s="1" t="s">
        <v>552</v>
      </c>
      <c r="I682" s="1" t="s">
        <v>28</v>
      </c>
      <c r="J682" s="1" t="s">
        <v>31</v>
      </c>
      <c r="K682">
        <v>28</v>
      </c>
    </row>
    <row r="683" spans="1:11" x14ac:dyDescent="0.25">
      <c r="A683" s="18" t="str">
        <f xml:space="preserve">  MapNameLkup</f>
        <v>m_ofs_trex_ar_invoices</v>
      </c>
      <c r="B683" s="1" t="s">
        <v>101</v>
      </c>
      <c r="C683" s="1" t="s">
        <v>105</v>
      </c>
      <c r="D683" s="1" t="s">
        <v>1</v>
      </c>
      <c r="E683" s="1" t="s">
        <v>111</v>
      </c>
      <c r="F683">
        <v>1</v>
      </c>
      <c r="G683" s="1"/>
      <c r="H683" s="1" t="s">
        <v>553</v>
      </c>
      <c r="I683" s="1" t="s">
        <v>28</v>
      </c>
      <c r="J683" s="1" t="s">
        <v>31</v>
      </c>
      <c r="K683">
        <v>29</v>
      </c>
    </row>
    <row r="684" spans="1:11" x14ac:dyDescent="0.25">
      <c r="A684" s="18" t="str">
        <f xml:space="preserve">  MapNameLkup</f>
        <v>m_ofs_trex_ar_invoices</v>
      </c>
      <c r="B684" s="1" t="s">
        <v>101</v>
      </c>
      <c r="C684" s="1" t="s">
        <v>105</v>
      </c>
      <c r="D684" s="1" t="s">
        <v>1</v>
      </c>
      <c r="E684" s="1" t="s">
        <v>111</v>
      </c>
      <c r="F684">
        <v>1</v>
      </c>
      <c r="G684" s="1"/>
      <c r="H684" s="1" t="s">
        <v>554</v>
      </c>
      <c r="I684" s="1" t="s">
        <v>28</v>
      </c>
      <c r="J684" s="1" t="s">
        <v>31</v>
      </c>
      <c r="K684">
        <v>30</v>
      </c>
    </row>
    <row r="685" spans="1:11" x14ac:dyDescent="0.25">
      <c r="A685" s="18" t="str">
        <f xml:space="preserve">  MapNameLkup</f>
        <v>m_ofs_trex_ar_invoices</v>
      </c>
      <c r="B685" s="1" t="s">
        <v>101</v>
      </c>
      <c r="C685" s="1" t="s">
        <v>105</v>
      </c>
      <c r="D685" s="1" t="s">
        <v>1</v>
      </c>
      <c r="E685" s="1" t="s">
        <v>111</v>
      </c>
      <c r="F685">
        <v>1</v>
      </c>
      <c r="G685" s="1"/>
      <c r="H685" s="1" t="s">
        <v>555</v>
      </c>
      <c r="I685" s="1" t="s">
        <v>28</v>
      </c>
      <c r="J685" s="1" t="s">
        <v>31</v>
      </c>
      <c r="K685">
        <v>31</v>
      </c>
    </row>
    <row r="686" spans="1:11" x14ac:dyDescent="0.25">
      <c r="A686" s="18" t="str">
        <f xml:space="preserve">  MapNameLkup</f>
        <v>m_ofs_trex_ar_invoices</v>
      </c>
      <c r="B686" s="1" t="s">
        <v>101</v>
      </c>
      <c r="C686" s="1" t="s">
        <v>105</v>
      </c>
      <c r="D686" s="1" t="s">
        <v>1</v>
      </c>
      <c r="E686" s="1" t="s">
        <v>111</v>
      </c>
      <c r="F686">
        <v>1</v>
      </c>
      <c r="G686" s="1"/>
      <c r="H686" s="1" t="s">
        <v>556</v>
      </c>
      <c r="I686" s="1" t="s">
        <v>28</v>
      </c>
      <c r="J686" s="1" t="s">
        <v>31</v>
      </c>
      <c r="K686">
        <v>32</v>
      </c>
    </row>
    <row r="687" spans="1:11" x14ac:dyDescent="0.25">
      <c r="A687" s="18" t="str">
        <f xml:space="preserve">  MapNameLkup</f>
        <v>m_ofs_trex_ar_invoices</v>
      </c>
      <c r="B687" s="1" t="s">
        <v>101</v>
      </c>
      <c r="C687" s="1" t="s">
        <v>105</v>
      </c>
      <c r="D687" s="1" t="s">
        <v>1</v>
      </c>
      <c r="E687" s="1" t="s">
        <v>111</v>
      </c>
      <c r="F687">
        <v>1</v>
      </c>
      <c r="G687" s="1"/>
      <c r="H687" s="1" t="s">
        <v>557</v>
      </c>
      <c r="I687" s="1" t="s">
        <v>28</v>
      </c>
      <c r="J687" s="1" t="s">
        <v>31</v>
      </c>
      <c r="K687">
        <v>33</v>
      </c>
    </row>
    <row r="688" spans="1:11" x14ac:dyDescent="0.25">
      <c r="A688" s="18" t="str">
        <f xml:space="preserve">  MapNameLkup</f>
        <v>m_ofs_trex_ar_invoices</v>
      </c>
      <c r="B688" s="1" t="s">
        <v>101</v>
      </c>
      <c r="C688" s="1" t="s">
        <v>105</v>
      </c>
      <c r="D688" s="1" t="s">
        <v>1</v>
      </c>
      <c r="E688" s="1" t="s">
        <v>111</v>
      </c>
      <c r="F688">
        <v>1</v>
      </c>
      <c r="G688" s="1"/>
      <c r="H688" s="1" t="s">
        <v>558</v>
      </c>
      <c r="I688" s="1" t="s">
        <v>28</v>
      </c>
      <c r="J688" s="1" t="s">
        <v>31</v>
      </c>
      <c r="K688">
        <v>34</v>
      </c>
    </row>
    <row r="689" spans="1:11" x14ac:dyDescent="0.25">
      <c r="A689" s="18" t="str">
        <f xml:space="preserve">  MapNameLkup</f>
        <v>m_ofs_trex_ar_invoices</v>
      </c>
      <c r="B689" s="1" t="s">
        <v>101</v>
      </c>
      <c r="C689" s="1" t="s">
        <v>105</v>
      </c>
      <c r="D689" s="1" t="s">
        <v>1</v>
      </c>
      <c r="E689" s="1" t="s">
        <v>111</v>
      </c>
      <c r="F689">
        <v>1</v>
      </c>
      <c r="G689" s="1"/>
      <c r="H689" s="1" t="s">
        <v>559</v>
      </c>
      <c r="I689" s="1" t="s">
        <v>28</v>
      </c>
      <c r="J689" s="1" t="s">
        <v>31</v>
      </c>
      <c r="K689">
        <v>35</v>
      </c>
    </row>
    <row r="690" spans="1:11" x14ac:dyDescent="0.25">
      <c r="A690" s="18" t="str">
        <f xml:space="preserve">  MapNameLkup</f>
        <v>m_ofs_trex_ar_invoices</v>
      </c>
      <c r="B690" s="1" t="s">
        <v>101</v>
      </c>
      <c r="C690" s="1" t="s">
        <v>105</v>
      </c>
      <c r="D690" s="1" t="s">
        <v>1</v>
      </c>
      <c r="E690" s="1" t="s">
        <v>111</v>
      </c>
      <c r="F690">
        <v>1</v>
      </c>
      <c r="G690" s="1"/>
      <c r="H690" s="1" t="s">
        <v>560</v>
      </c>
      <c r="I690" s="1" t="s">
        <v>28</v>
      </c>
      <c r="J690" s="1" t="s">
        <v>31</v>
      </c>
      <c r="K690">
        <v>36</v>
      </c>
    </row>
    <row r="691" spans="1:11" x14ac:dyDescent="0.25">
      <c r="A691" s="18" t="str">
        <f xml:space="preserve">  MapNameLkup</f>
        <v>m_ofs_trex_ar_invoices</v>
      </c>
      <c r="B691" s="1" t="s">
        <v>101</v>
      </c>
      <c r="C691" s="1" t="s">
        <v>105</v>
      </c>
      <c r="D691" s="1" t="s">
        <v>1</v>
      </c>
      <c r="E691" s="1" t="s">
        <v>111</v>
      </c>
      <c r="F691">
        <v>1</v>
      </c>
      <c r="G691" s="1"/>
      <c r="H691" s="1" t="s">
        <v>561</v>
      </c>
      <c r="I691" s="1" t="s">
        <v>28</v>
      </c>
      <c r="J691" s="1" t="s">
        <v>31</v>
      </c>
      <c r="K691">
        <v>37</v>
      </c>
    </row>
    <row r="692" spans="1:11" x14ac:dyDescent="0.25">
      <c r="A692" s="18" t="str">
        <f xml:space="preserve">  MapNameLkup</f>
        <v>m_ofs_trex_ar_invoices</v>
      </c>
      <c r="B692" s="1" t="s">
        <v>101</v>
      </c>
      <c r="C692" s="1" t="s">
        <v>105</v>
      </c>
      <c r="D692" s="1" t="s">
        <v>1</v>
      </c>
      <c r="E692" s="1" t="s">
        <v>111</v>
      </c>
      <c r="F692">
        <v>1</v>
      </c>
      <c r="G692" s="1"/>
      <c r="H692" s="1" t="s">
        <v>562</v>
      </c>
      <c r="I692" s="1" t="s">
        <v>28</v>
      </c>
      <c r="J692" s="1" t="s">
        <v>31</v>
      </c>
      <c r="K692">
        <v>38</v>
      </c>
    </row>
    <row r="693" spans="1:11" x14ac:dyDescent="0.25">
      <c r="A693" s="18" t="str">
        <f xml:space="preserve">  MapNameLkup</f>
        <v>m_ofs_trex_ar_invoices</v>
      </c>
      <c r="B693" s="1" t="s">
        <v>101</v>
      </c>
      <c r="C693" s="1" t="s">
        <v>105</v>
      </c>
      <c r="D693" s="1" t="s">
        <v>1</v>
      </c>
      <c r="E693" s="1" t="s">
        <v>111</v>
      </c>
      <c r="F693">
        <v>1</v>
      </c>
      <c r="G693" s="1"/>
      <c r="H693" s="1" t="s">
        <v>563</v>
      </c>
      <c r="I693" s="1" t="s">
        <v>28</v>
      </c>
      <c r="J693" s="1" t="s">
        <v>31</v>
      </c>
      <c r="K693">
        <v>39</v>
      </c>
    </row>
    <row r="694" spans="1:11" x14ac:dyDescent="0.25">
      <c r="A694" s="18" t="str">
        <f xml:space="preserve">  MapNameLkup</f>
        <v>m_ofs_trex_ar_invoices</v>
      </c>
      <c r="B694" s="1" t="s">
        <v>101</v>
      </c>
      <c r="C694" s="1" t="s">
        <v>105</v>
      </c>
      <c r="D694" s="1" t="s">
        <v>1</v>
      </c>
      <c r="E694" s="1" t="s">
        <v>111</v>
      </c>
      <c r="F694">
        <v>1</v>
      </c>
      <c r="G694" s="1"/>
      <c r="H694" s="1" t="s">
        <v>2</v>
      </c>
      <c r="I694" s="1" t="s">
        <v>28</v>
      </c>
      <c r="J694" s="1" t="s">
        <v>31</v>
      </c>
      <c r="K694">
        <v>40</v>
      </c>
    </row>
    <row r="695" spans="1:11" x14ac:dyDescent="0.25">
      <c r="A695" s="18" t="str">
        <f xml:space="preserve">  MapNameLkup</f>
        <v>m_ofs_trex_ar_invoices</v>
      </c>
      <c r="B695" s="1" t="s">
        <v>101</v>
      </c>
      <c r="C695" s="1" t="s">
        <v>105</v>
      </c>
      <c r="D695" s="1" t="s">
        <v>1</v>
      </c>
      <c r="E695" s="1" t="s">
        <v>111</v>
      </c>
      <c r="F695">
        <v>1</v>
      </c>
      <c r="G695" s="1"/>
      <c r="H695" s="1" t="s">
        <v>564</v>
      </c>
      <c r="I695" s="1" t="s">
        <v>28</v>
      </c>
      <c r="J695" s="1" t="s">
        <v>31</v>
      </c>
      <c r="K695">
        <v>41</v>
      </c>
    </row>
    <row r="696" spans="1:11" x14ac:dyDescent="0.25">
      <c r="A696" s="18" t="str">
        <f xml:space="preserve">  MapNameLkup</f>
        <v>m_ofs_trex_ar_invoices</v>
      </c>
      <c r="B696" s="1" t="s">
        <v>101</v>
      </c>
      <c r="C696" s="1" t="s">
        <v>105</v>
      </c>
      <c r="D696" s="1" t="s">
        <v>1</v>
      </c>
      <c r="E696" s="1" t="s">
        <v>111</v>
      </c>
      <c r="F696">
        <v>1</v>
      </c>
      <c r="G696" s="1"/>
      <c r="H696" s="1" t="s">
        <v>565</v>
      </c>
      <c r="I696" s="1" t="s">
        <v>28</v>
      </c>
      <c r="J696" s="1" t="s">
        <v>31</v>
      </c>
      <c r="K696">
        <v>42</v>
      </c>
    </row>
    <row r="697" spans="1:11" x14ac:dyDescent="0.25">
      <c r="A697" s="18" t="str">
        <f xml:space="preserve">  MapNameLkup</f>
        <v>m_ofs_trex_ar_invoices</v>
      </c>
      <c r="B697" s="1" t="s">
        <v>101</v>
      </c>
      <c r="C697" s="1" t="s">
        <v>105</v>
      </c>
      <c r="D697" s="1" t="s">
        <v>1</v>
      </c>
      <c r="E697" s="1" t="s">
        <v>111</v>
      </c>
      <c r="F697">
        <v>1</v>
      </c>
      <c r="G697" s="1"/>
      <c r="H697" s="1" t="s">
        <v>267</v>
      </c>
      <c r="I697" s="1" t="s">
        <v>28</v>
      </c>
      <c r="J697" s="1" t="s">
        <v>31</v>
      </c>
      <c r="K697">
        <v>43</v>
      </c>
    </row>
    <row r="698" spans="1:11" x14ac:dyDescent="0.25">
      <c r="A698" s="18" t="str">
        <f xml:space="preserve">  MapNameLkup</f>
        <v>m_ofs_trex_ar_invoices</v>
      </c>
      <c r="B698" s="1" t="s">
        <v>101</v>
      </c>
      <c r="C698" s="1" t="s">
        <v>105</v>
      </c>
      <c r="D698" s="1" t="s">
        <v>1</v>
      </c>
      <c r="E698" s="1" t="s">
        <v>111</v>
      </c>
      <c r="F698">
        <v>1</v>
      </c>
      <c r="G698" s="1"/>
      <c r="H698" s="1" t="s">
        <v>268</v>
      </c>
      <c r="I698" s="1" t="s">
        <v>28</v>
      </c>
      <c r="J698" s="1" t="s">
        <v>31</v>
      </c>
      <c r="K698">
        <v>44</v>
      </c>
    </row>
    <row r="699" spans="1:11" x14ac:dyDescent="0.25">
      <c r="A699" s="18" t="str">
        <f xml:space="preserve">  MapNameLkup</f>
        <v>m_ofs_trex_ar_invoices</v>
      </c>
      <c r="B699" s="1" t="s">
        <v>101</v>
      </c>
      <c r="C699" s="1" t="s">
        <v>105</v>
      </c>
      <c r="D699" s="1" t="s">
        <v>1</v>
      </c>
      <c r="E699" s="1" t="s">
        <v>111</v>
      </c>
      <c r="F699">
        <v>1</v>
      </c>
      <c r="G699" s="1"/>
      <c r="H699" s="1" t="s">
        <v>164</v>
      </c>
      <c r="I699" s="1" t="s">
        <v>28</v>
      </c>
      <c r="J699" s="1" t="s">
        <v>31</v>
      </c>
      <c r="K699">
        <v>45</v>
      </c>
    </row>
    <row r="700" spans="1:11" x14ac:dyDescent="0.25">
      <c r="A700" s="18" t="str">
        <f xml:space="preserve">  MapNameLkup</f>
        <v>m_ofs_trex_ar_invoices</v>
      </c>
      <c r="B700" s="1" t="s">
        <v>101</v>
      </c>
      <c r="C700" s="1" t="s">
        <v>105</v>
      </c>
      <c r="D700" s="1" t="s">
        <v>1</v>
      </c>
      <c r="E700" s="1" t="s">
        <v>111</v>
      </c>
      <c r="F700">
        <v>1</v>
      </c>
      <c r="G700" s="1"/>
      <c r="H700" s="1" t="s">
        <v>165</v>
      </c>
      <c r="I700" s="1" t="s">
        <v>28</v>
      </c>
      <c r="J700" s="1" t="s">
        <v>31</v>
      </c>
      <c r="K700">
        <v>46</v>
      </c>
    </row>
    <row r="701" spans="1:11" x14ac:dyDescent="0.25">
      <c r="A701" s="18" t="str">
        <f xml:space="preserve">  MapNameLkup</f>
        <v>m_ofs_trex_ar_invoices</v>
      </c>
      <c r="B701" s="1" t="s">
        <v>101</v>
      </c>
      <c r="C701" s="1" t="s">
        <v>105</v>
      </c>
      <c r="D701" s="1" t="s">
        <v>1</v>
      </c>
      <c r="E701" s="1" t="s">
        <v>111</v>
      </c>
      <c r="F701">
        <v>1</v>
      </c>
      <c r="G701" s="1"/>
      <c r="H701" s="1" t="s">
        <v>166</v>
      </c>
      <c r="I701" s="1" t="s">
        <v>28</v>
      </c>
      <c r="J701" s="1" t="s">
        <v>31</v>
      </c>
      <c r="K701">
        <v>47</v>
      </c>
    </row>
    <row r="702" spans="1:11" x14ac:dyDescent="0.25">
      <c r="A702" s="18" t="str">
        <f xml:space="preserve">  MapNameLkup</f>
        <v>m_ofs_trex_ar_invoices</v>
      </c>
      <c r="B702" s="1" t="s">
        <v>101</v>
      </c>
      <c r="C702" s="1" t="s">
        <v>105</v>
      </c>
      <c r="D702" s="1" t="s">
        <v>1</v>
      </c>
      <c r="E702" s="1" t="s">
        <v>111</v>
      </c>
      <c r="F702">
        <v>1</v>
      </c>
      <c r="G702" s="1"/>
      <c r="H702" s="1" t="s">
        <v>167</v>
      </c>
      <c r="I702" s="1" t="s">
        <v>28</v>
      </c>
      <c r="J702" s="1" t="s">
        <v>31</v>
      </c>
      <c r="K702">
        <v>48</v>
      </c>
    </row>
    <row r="703" spans="1:11" x14ac:dyDescent="0.25">
      <c r="A703" s="18" t="str">
        <f xml:space="preserve">  MapNameLkup</f>
        <v>m_ofs_trex_ar_invoices</v>
      </c>
      <c r="B703" s="1" t="s">
        <v>101</v>
      </c>
      <c r="C703" s="1" t="s">
        <v>105</v>
      </c>
      <c r="D703" s="1" t="s">
        <v>1</v>
      </c>
      <c r="E703" s="1" t="s">
        <v>111</v>
      </c>
      <c r="F703">
        <v>1</v>
      </c>
      <c r="G703" s="1"/>
      <c r="H703" s="1" t="s">
        <v>168</v>
      </c>
      <c r="I703" s="1" t="s">
        <v>28</v>
      </c>
      <c r="J703" s="1" t="s">
        <v>31</v>
      </c>
      <c r="K703">
        <v>49</v>
      </c>
    </row>
    <row r="704" spans="1:11" x14ac:dyDescent="0.25">
      <c r="A704" s="18" t="str">
        <f xml:space="preserve">  MapNameLkup</f>
        <v>m_ofs_trex_ar_invoices</v>
      </c>
      <c r="B704" s="1" t="s">
        <v>101</v>
      </c>
      <c r="C704" s="1" t="s">
        <v>105</v>
      </c>
      <c r="D704" s="1" t="s">
        <v>1</v>
      </c>
      <c r="E704" s="1" t="s">
        <v>111</v>
      </c>
      <c r="F704">
        <v>1</v>
      </c>
      <c r="G704" s="1"/>
      <c r="H704" s="1" t="s">
        <v>169</v>
      </c>
      <c r="I704" s="1" t="s">
        <v>28</v>
      </c>
      <c r="J704" s="1" t="s">
        <v>31</v>
      </c>
      <c r="K704">
        <v>50</v>
      </c>
    </row>
    <row r="705" spans="1:11" x14ac:dyDescent="0.25">
      <c r="A705" s="18" t="str">
        <f xml:space="preserve">  MapNameLkup</f>
        <v>m_ofs_trex_ar_invoices</v>
      </c>
      <c r="B705" s="1" t="s">
        <v>101</v>
      </c>
      <c r="C705" s="1" t="s">
        <v>105</v>
      </c>
      <c r="D705" s="1" t="s">
        <v>1</v>
      </c>
      <c r="E705" s="1" t="s">
        <v>111</v>
      </c>
      <c r="F705">
        <v>1</v>
      </c>
      <c r="G705" s="1"/>
      <c r="H705" s="1" t="s">
        <v>170</v>
      </c>
      <c r="I705" s="1" t="s">
        <v>28</v>
      </c>
      <c r="J705" s="1" t="s">
        <v>31</v>
      </c>
      <c r="K705">
        <v>51</v>
      </c>
    </row>
    <row r="706" spans="1:11" x14ac:dyDescent="0.25">
      <c r="A706" s="18" t="str">
        <f xml:space="preserve">  MapNameLkup</f>
        <v>m_ofs_trex_ar_invoices</v>
      </c>
      <c r="B706" s="1" t="s">
        <v>101</v>
      </c>
      <c r="C706" s="1" t="s">
        <v>105</v>
      </c>
      <c r="D706" s="1" t="s">
        <v>1</v>
      </c>
      <c r="E706" s="1" t="s">
        <v>111</v>
      </c>
      <c r="F706">
        <v>1</v>
      </c>
      <c r="G706" s="1"/>
      <c r="H706" s="1" t="s">
        <v>171</v>
      </c>
      <c r="I706" s="1" t="s">
        <v>28</v>
      </c>
      <c r="J706" s="1" t="s">
        <v>31</v>
      </c>
      <c r="K706">
        <v>52</v>
      </c>
    </row>
    <row r="707" spans="1:11" x14ac:dyDescent="0.25">
      <c r="A707" s="18" t="str">
        <f xml:space="preserve">  MapNameLkup</f>
        <v>m_ofs_trex_ar_invoices</v>
      </c>
      <c r="B707" s="1" t="s">
        <v>101</v>
      </c>
      <c r="C707" s="1" t="s">
        <v>105</v>
      </c>
      <c r="D707" s="1" t="s">
        <v>1</v>
      </c>
      <c r="E707" s="1" t="s">
        <v>111</v>
      </c>
      <c r="F707">
        <v>1</v>
      </c>
      <c r="G707" s="1"/>
      <c r="H707" s="1" t="s">
        <v>172</v>
      </c>
      <c r="I707" s="1" t="s">
        <v>28</v>
      </c>
      <c r="J707" s="1" t="s">
        <v>31</v>
      </c>
      <c r="K707">
        <v>53</v>
      </c>
    </row>
    <row r="708" spans="1:11" x14ac:dyDescent="0.25">
      <c r="A708" s="18" t="str">
        <f xml:space="preserve">  MapNameLkup</f>
        <v>m_ofs_trex_ar_invoices</v>
      </c>
      <c r="B708" s="1" t="s">
        <v>101</v>
      </c>
      <c r="C708" s="1" t="s">
        <v>105</v>
      </c>
      <c r="D708" s="1" t="s">
        <v>1</v>
      </c>
      <c r="E708" s="1" t="s">
        <v>111</v>
      </c>
      <c r="F708">
        <v>1</v>
      </c>
      <c r="G708" s="1"/>
      <c r="H708" s="1" t="s">
        <v>173</v>
      </c>
      <c r="I708" s="1" t="s">
        <v>28</v>
      </c>
      <c r="J708" s="1" t="s">
        <v>31</v>
      </c>
      <c r="K708">
        <v>54</v>
      </c>
    </row>
    <row r="709" spans="1:11" x14ac:dyDescent="0.25">
      <c r="A709" s="18" t="str">
        <f xml:space="preserve">  MapNameLkup</f>
        <v>m_ofs_trex_ar_invoices</v>
      </c>
      <c r="B709" s="1" t="s">
        <v>101</v>
      </c>
      <c r="C709" s="1" t="s">
        <v>105</v>
      </c>
      <c r="D709" s="1" t="s">
        <v>1</v>
      </c>
      <c r="E709" s="1" t="s">
        <v>111</v>
      </c>
      <c r="F709">
        <v>1</v>
      </c>
      <c r="G709" s="1"/>
      <c r="H709" s="1" t="s">
        <v>566</v>
      </c>
      <c r="I709" s="1" t="s">
        <v>28</v>
      </c>
      <c r="J709" s="1" t="s">
        <v>31</v>
      </c>
      <c r="K709">
        <v>55</v>
      </c>
    </row>
    <row r="710" spans="1:11" x14ac:dyDescent="0.25">
      <c r="A710" s="18" t="str">
        <f xml:space="preserve">  MapNameLkup</f>
        <v>m_ofs_trex_ar_invoices</v>
      </c>
      <c r="B710" s="1" t="s">
        <v>101</v>
      </c>
      <c r="C710" s="1" t="s">
        <v>105</v>
      </c>
      <c r="D710" s="1" t="s">
        <v>1</v>
      </c>
      <c r="E710" s="1" t="s">
        <v>111</v>
      </c>
      <c r="F710">
        <v>1</v>
      </c>
      <c r="G710" s="1"/>
      <c r="H710" s="1" t="s">
        <v>567</v>
      </c>
      <c r="I710" s="1" t="s">
        <v>28</v>
      </c>
      <c r="J710" s="1" t="s">
        <v>31</v>
      </c>
      <c r="K710">
        <v>56</v>
      </c>
    </row>
    <row r="711" spans="1:11" x14ac:dyDescent="0.25">
      <c r="A711" s="18" t="str">
        <f xml:space="preserve">  MapNameLkup</f>
        <v>m_ofs_trex_ar_invoices</v>
      </c>
      <c r="B711" s="1" t="s">
        <v>101</v>
      </c>
      <c r="C711" s="1" t="s">
        <v>105</v>
      </c>
      <c r="D711" s="1" t="s">
        <v>1</v>
      </c>
      <c r="E711" s="1" t="s">
        <v>111</v>
      </c>
      <c r="F711">
        <v>1</v>
      </c>
      <c r="G711" s="1"/>
      <c r="H711" s="1" t="s">
        <v>568</v>
      </c>
      <c r="I711" s="1" t="s">
        <v>28</v>
      </c>
      <c r="J711" s="1" t="s">
        <v>31</v>
      </c>
      <c r="K711">
        <v>57</v>
      </c>
    </row>
    <row r="712" spans="1:11" x14ac:dyDescent="0.25">
      <c r="A712" s="18" t="str">
        <f xml:space="preserve">  MapNameLkup</f>
        <v>m_ofs_trex_ar_invoices</v>
      </c>
      <c r="B712" s="1" t="s">
        <v>101</v>
      </c>
      <c r="C712" s="1" t="s">
        <v>105</v>
      </c>
      <c r="D712" s="1" t="s">
        <v>1</v>
      </c>
      <c r="E712" s="1" t="s">
        <v>111</v>
      </c>
      <c r="F712">
        <v>1</v>
      </c>
      <c r="G712" s="1"/>
      <c r="H712" s="1" t="s">
        <v>569</v>
      </c>
      <c r="I712" s="1" t="s">
        <v>28</v>
      </c>
      <c r="J712" s="1" t="s">
        <v>31</v>
      </c>
      <c r="K712">
        <v>58</v>
      </c>
    </row>
    <row r="713" spans="1:11" x14ac:dyDescent="0.25">
      <c r="A713" s="18" t="str">
        <f xml:space="preserve">  MapNameLkup</f>
        <v>m_ofs_trex_ar_invoices</v>
      </c>
      <c r="B713" s="1" t="s">
        <v>101</v>
      </c>
      <c r="C713" s="1" t="s">
        <v>105</v>
      </c>
      <c r="D713" s="1" t="s">
        <v>1</v>
      </c>
      <c r="E713" s="1" t="s">
        <v>111</v>
      </c>
      <c r="F713">
        <v>1</v>
      </c>
      <c r="G713" s="1"/>
      <c r="H713" s="1" t="s">
        <v>570</v>
      </c>
      <c r="I713" s="1" t="s">
        <v>28</v>
      </c>
      <c r="J713" s="1" t="s">
        <v>31</v>
      </c>
      <c r="K713">
        <v>59</v>
      </c>
    </row>
    <row r="714" spans="1:11" x14ac:dyDescent="0.25">
      <c r="A714" s="18" t="str">
        <f xml:space="preserve">  MapNameLkup</f>
        <v>m_ofs_trex_ar_invoices</v>
      </c>
      <c r="B714" s="1" t="s">
        <v>101</v>
      </c>
      <c r="C714" s="1" t="s">
        <v>105</v>
      </c>
      <c r="D714" s="1" t="s">
        <v>1</v>
      </c>
      <c r="E714" s="1" t="s">
        <v>111</v>
      </c>
      <c r="F714">
        <v>1</v>
      </c>
      <c r="G714" s="1"/>
      <c r="H714" s="1" t="s">
        <v>571</v>
      </c>
      <c r="I714" s="1" t="s">
        <v>28</v>
      </c>
      <c r="J714" s="1" t="s">
        <v>31</v>
      </c>
      <c r="K714">
        <v>60</v>
      </c>
    </row>
    <row r="715" spans="1:11" x14ac:dyDescent="0.25">
      <c r="A715" s="18" t="str">
        <f xml:space="preserve">  MapNameLkup</f>
        <v>m_ofs_trex_ar_invoices</v>
      </c>
      <c r="B715" s="1" t="s">
        <v>101</v>
      </c>
      <c r="C715" s="1" t="s">
        <v>105</v>
      </c>
      <c r="D715" s="1" t="s">
        <v>1</v>
      </c>
      <c r="E715" s="1" t="s">
        <v>111</v>
      </c>
      <c r="F715">
        <v>1</v>
      </c>
      <c r="G715" s="1"/>
      <c r="H715" s="1" t="s">
        <v>572</v>
      </c>
      <c r="I715" s="1" t="s">
        <v>28</v>
      </c>
      <c r="J715" s="1" t="s">
        <v>31</v>
      </c>
      <c r="K715">
        <v>61</v>
      </c>
    </row>
    <row r="716" spans="1:11" x14ac:dyDescent="0.25">
      <c r="A716" s="18" t="str">
        <f xml:space="preserve">  MapNameLkup</f>
        <v>m_ofs_trex_ar_invoices</v>
      </c>
      <c r="B716" s="1" t="s">
        <v>101</v>
      </c>
      <c r="C716" s="1" t="s">
        <v>105</v>
      </c>
      <c r="D716" s="1" t="s">
        <v>1</v>
      </c>
      <c r="E716" s="1" t="s">
        <v>111</v>
      </c>
      <c r="F716">
        <v>1</v>
      </c>
      <c r="G716" s="1"/>
      <c r="H716" s="1" t="s">
        <v>573</v>
      </c>
      <c r="I716" s="1" t="s">
        <v>28</v>
      </c>
      <c r="J716" s="1" t="s">
        <v>31</v>
      </c>
      <c r="K716">
        <v>62</v>
      </c>
    </row>
    <row r="717" spans="1:11" x14ac:dyDescent="0.25">
      <c r="A717" s="18" t="str">
        <f xml:space="preserve">  MapNameLkup</f>
        <v>m_ofs_trex_ar_invoices</v>
      </c>
      <c r="B717" s="1" t="s">
        <v>101</v>
      </c>
      <c r="C717" s="1" t="s">
        <v>105</v>
      </c>
      <c r="D717" s="1" t="s">
        <v>1</v>
      </c>
      <c r="E717" s="1" t="s">
        <v>111</v>
      </c>
      <c r="F717">
        <v>1</v>
      </c>
      <c r="G717" s="1"/>
      <c r="H717" s="1" t="s">
        <v>574</v>
      </c>
      <c r="I717" s="1" t="s">
        <v>28</v>
      </c>
      <c r="J717" s="1" t="s">
        <v>31</v>
      </c>
      <c r="K717">
        <v>63</v>
      </c>
    </row>
    <row r="718" spans="1:11" x14ac:dyDescent="0.25">
      <c r="A718" s="18" t="str">
        <f xml:space="preserve">  MapNameLkup</f>
        <v>m_ofs_trex_ar_invoices</v>
      </c>
      <c r="B718" s="1" t="s">
        <v>101</v>
      </c>
      <c r="C718" s="1" t="s">
        <v>105</v>
      </c>
      <c r="D718" s="1" t="s">
        <v>1</v>
      </c>
      <c r="E718" s="1" t="s">
        <v>111</v>
      </c>
      <c r="F718">
        <v>1</v>
      </c>
      <c r="G718" s="1"/>
      <c r="H718" s="1" t="s">
        <v>575</v>
      </c>
      <c r="I718" s="1" t="s">
        <v>28</v>
      </c>
      <c r="J718" s="1" t="s">
        <v>31</v>
      </c>
      <c r="K718">
        <v>64</v>
      </c>
    </row>
    <row r="719" spans="1:11" x14ac:dyDescent="0.25">
      <c r="A719" s="18" t="str">
        <f xml:space="preserve">  MapNameLkup</f>
        <v>m_ofs_trex_ar_invoices</v>
      </c>
      <c r="B719" s="1" t="s">
        <v>101</v>
      </c>
      <c r="C719" s="1" t="s">
        <v>105</v>
      </c>
      <c r="D719" s="1" t="s">
        <v>1</v>
      </c>
      <c r="E719" s="1" t="s">
        <v>111</v>
      </c>
      <c r="F719">
        <v>1</v>
      </c>
      <c r="G719" s="1"/>
      <c r="H719" s="1" t="s">
        <v>576</v>
      </c>
      <c r="I719" s="1" t="s">
        <v>28</v>
      </c>
      <c r="J719" s="1" t="s">
        <v>31</v>
      </c>
      <c r="K719">
        <v>65</v>
      </c>
    </row>
    <row r="720" spans="1:11" x14ac:dyDescent="0.25">
      <c r="A720" s="18" t="str">
        <f xml:space="preserve">  MapNameLkup</f>
        <v>m_ofs_trex_ar_invoices</v>
      </c>
      <c r="B720" s="1" t="s">
        <v>101</v>
      </c>
      <c r="C720" s="1" t="s">
        <v>105</v>
      </c>
      <c r="D720" s="1" t="s">
        <v>1</v>
      </c>
      <c r="E720" s="1" t="s">
        <v>111</v>
      </c>
      <c r="F720">
        <v>1</v>
      </c>
      <c r="G720" s="1"/>
      <c r="H720" s="1" t="s">
        <v>577</v>
      </c>
      <c r="I720" s="1" t="s">
        <v>28</v>
      </c>
      <c r="J720" s="1" t="s">
        <v>31</v>
      </c>
      <c r="K720">
        <v>66</v>
      </c>
    </row>
    <row r="721" spans="1:11" x14ac:dyDescent="0.25">
      <c r="A721" s="18" t="str">
        <f xml:space="preserve">  MapNameLkup</f>
        <v>m_ofs_trex_ar_invoices</v>
      </c>
      <c r="B721" s="1" t="s">
        <v>101</v>
      </c>
      <c r="C721" s="1" t="s">
        <v>105</v>
      </c>
      <c r="D721" s="1" t="s">
        <v>1</v>
      </c>
      <c r="E721" s="1" t="s">
        <v>111</v>
      </c>
      <c r="F721">
        <v>1</v>
      </c>
      <c r="G721" s="1"/>
      <c r="H721" s="1" t="s">
        <v>578</v>
      </c>
      <c r="I721" s="1" t="s">
        <v>28</v>
      </c>
      <c r="J721" s="1" t="s">
        <v>31</v>
      </c>
      <c r="K721">
        <v>67</v>
      </c>
    </row>
    <row r="722" spans="1:11" x14ac:dyDescent="0.25">
      <c r="A722" s="18" t="str">
        <f xml:space="preserve">  MapNameLkup</f>
        <v>m_ofs_trex_ar_invoices</v>
      </c>
      <c r="B722" s="1" t="s">
        <v>101</v>
      </c>
      <c r="C722" s="1" t="s">
        <v>105</v>
      </c>
      <c r="D722" s="1" t="s">
        <v>1</v>
      </c>
      <c r="E722" s="1" t="s">
        <v>111</v>
      </c>
      <c r="F722">
        <v>1</v>
      </c>
      <c r="G722" s="1"/>
      <c r="H722" s="1" t="s">
        <v>579</v>
      </c>
      <c r="I722" s="1" t="s">
        <v>28</v>
      </c>
      <c r="J722" s="1" t="s">
        <v>31</v>
      </c>
      <c r="K722">
        <v>68</v>
      </c>
    </row>
    <row r="723" spans="1:11" x14ac:dyDescent="0.25">
      <c r="A723" s="18" t="str">
        <f xml:space="preserve">  MapNameLkup</f>
        <v>m_ofs_trex_ar_invoices</v>
      </c>
      <c r="B723" s="1" t="s">
        <v>101</v>
      </c>
      <c r="C723" s="1" t="s">
        <v>105</v>
      </c>
      <c r="D723" s="1" t="s">
        <v>1</v>
      </c>
      <c r="E723" s="1" t="s">
        <v>111</v>
      </c>
      <c r="F723">
        <v>1</v>
      </c>
      <c r="G723" s="1"/>
      <c r="H723" s="1" t="s">
        <v>580</v>
      </c>
      <c r="I723" s="1" t="s">
        <v>28</v>
      </c>
      <c r="J723" s="1" t="s">
        <v>31</v>
      </c>
      <c r="K723">
        <v>69</v>
      </c>
    </row>
    <row r="724" spans="1:11" x14ac:dyDescent="0.25">
      <c r="A724" s="18" t="str">
        <f xml:space="preserve">  MapNameLkup</f>
        <v>m_ofs_trex_ar_invoices</v>
      </c>
      <c r="B724" s="1" t="s">
        <v>101</v>
      </c>
      <c r="C724" s="1" t="s">
        <v>105</v>
      </c>
      <c r="D724" s="1" t="s">
        <v>1</v>
      </c>
      <c r="E724" s="1" t="s">
        <v>111</v>
      </c>
      <c r="F724">
        <v>1</v>
      </c>
      <c r="G724" s="1"/>
      <c r="H724" s="1" t="s">
        <v>581</v>
      </c>
      <c r="I724" s="1" t="s">
        <v>28</v>
      </c>
      <c r="J724" s="1" t="s">
        <v>31</v>
      </c>
      <c r="K724">
        <v>70</v>
      </c>
    </row>
    <row r="725" spans="1:11" x14ac:dyDescent="0.25">
      <c r="A725" s="18" t="str">
        <f xml:space="preserve">  MapNameLkup</f>
        <v>m_ofs_trex_ar_invoices</v>
      </c>
      <c r="B725" s="1" t="s">
        <v>101</v>
      </c>
      <c r="C725" s="1" t="s">
        <v>105</v>
      </c>
      <c r="D725" s="1" t="s">
        <v>1</v>
      </c>
      <c r="E725" s="1" t="s">
        <v>111</v>
      </c>
      <c r="F725">
        <v>1</v>
      </c>
      <c r="G725" s="1"/>
      <c r="H725" s="1" t="s">
        <v>582</v>
      </c>
      <c r="I725" s="1" t="s">
        <v>28</v>
      </c>
      <c r="J725" s="1" t="s">
        <v>31</v>
      </c>
      <c r="K725">
        <v>71</v>
      </c>
    </row>
    <row r="726" spans="1:11" x14ac:dyDescent="0.25">
      <c r="A726" s="18" t="str">
        <f xml:space="preserve">  MapNameLkup</f>
        <v>m_ofs_trex_ar_invoices</v>
      </c>
      <c r="B726" s="1" t="s">
        <v>101</v>
      </c>
      <c r="C726" s="1" t="s">
        <v>105</v>
      </c>
      <c r="D726" s="1" t="s">
        <v>1</v>
      </c>
      <c r="E726" s="1" t="s">
        <v>111</v>
      </c>
      <c r="F726">
        <v>1</v>
      </c>
      <c r="G726" s="1"/>
      <c r="H726" s="1" t="s">
        <v>583</v>
      </c>
      <c r="I726" s="1" t="s">
        <v>28</v>
      </c>
      <c r="J726" s="1" t="s">
        <v>31</v>
      </c>
      <c r="K726">
        <v>72</v>
      </c>
    </row>
    <row r="727" spans="1:11" x14ac:dyDescent="0.25">
      <c r="A727" s="18" t="str">
        <f xml:space="preserve">  MapNameLkup</f>
        <v>m_ofs_trex_ar_invoices</v>
      </c>
      <c r="B727" s="1" t="s">
        <v>101</v>
      </c>
      <c r="C727" s="1" t="s">
        <v>105</v>
      </c>
      <c r="D727" s="1" t="s">
        <v>1</v>
      </c>
      <c r="E727" s="1" t="s">
        <v>111</v>
      </c>
      <c r="F727">
        <v>1</v>
      </c>
      <c r="G727" s="1"/>
      <c r="H727" s="1" t="s">
        <v>584</v>
      </c>
      <c r="I727" s="1" t="s">
        <v>28</v>
      </c>
      <c r="J727" s="1" t="s">
        <v>31</v>
      </c>
      <c r="K727">
        <v>73</v>
      </c>
    </row>
    <row r="728" spans="1:11" x14ac:dyDescent="0.25">
      <c r="A728" s="18" t="str">
        <f xml:space="preserve">  MapNameLkup</f>
        <v>m_ofs_trex_ar_invoices</v>
      </c>
      <c r="B728" s="1" t="s">
        <v>101</v>
      </c>
      <c r="C728" s="1" t="s">
        <v>105</v>
      </c>
      <c r="D728" s="1" t="s">
        <v>1</v>
      </c>
      <c r="E728" s="1" t="s">
        <v>111</v>
      </c>
      <c r="F728">
        <v>1</v>
      </c>
      <c r="G728" s="1"/>
      <c r="H728" s="1" t="s">
        <v>585</v>
      </c>
      <c r="I728" s="1" t="s">
        <v>28</v>
      </c>
      <c r="J728" s="1" t="s">
        <v>31</v>
      </c>
      <c r="K728">
        <v>74</v>
      </c>
    </row>
    <row r="729" spans="1:11" x14ac:dyDescent="0.25">
      <c r="A729" s="18" t="str">
        <f xml:space="preserve">  MapNameLkup</f>
        <v>m_ofs_trex_ar_invoices</v>
      </c>
      <c r="B729" s="1" t="s">
        <v>101</v>
      </c>
      <c r="C729" s="1" t="s">
        <v>105</v>
      </c>
      <c r="D729" s="1" t="s">
        <v>1</v>
      </c>
      <c r="E729" s="1" t="s">
        <v>111</v>
      </c>
      <c r="F729">
        <v>1</v>
      </c>
      <c r="G729" s="1"/>
      <c r="H729" s="1" t="s">
        <v>586</v>
      </c>
      <c r="I729" s="1" t="s">
        <v>28</v>
      </c>
      <c r="J729" s="1" t="s">
        <v>31</v>
      </c>
      <c r="K729">
        <v>75</v>
      </c>
    </row>
    <row r="730" spans="1:11" x14ac:dyDescent="0.25">
      <c r="A730" s="18" t="str">
        <f xml:space="preserve">  MapNameLkup</f>
        <v>m_ofs_trex_ar_invoices</v>
      </c>
      <c r="B730" s="1" t="s">
        <v>101</v>
      </c>
      <c r="C730" s="1" t="s">
        <v>105</v>
      </c>
      <c r="D730" s="1" t="s">
        <v>1</v>
      </c>
      <c r="E730" s="1" t="s">
        <v>111</v>
      </c>
      <c r="F730">
        <v>1</v>
      </c>
      <c r="G730" s="1"/>
      <c r="H730" s="1" t="s">
        <v>587</v>
      </c>
      <c r="I730" s="1" t="s">
        <v>28</v>
      </c>
      <c r="J730" s="1" t="s">
        <v>31</v>
      </c>
      <c r="K730">
        <v>76</v>
      </c>
    </row>
    <row r="731" spans="1:11" x14ac:dyDescent="0.25">
      <c r="A731" s="18" t="str">
        <f xml:space="preserve">  MapNameLkup</f>
        <v>m_ofs_trex_ar_invoices</v>
      </c>
      <c r="B731" s="1" t="s">
        <v>101</v>
      </c>
      <c r="C731" s="1" t="s">
        <v>105</v>
      </c>
      <c r="D731" s="1" t="s">
        <v>1</v>
      </c>
      <c r="E731" s="1" t="s">
        <v>111</v>
      </c>
      <c r="F731">
        <v>1</v>
      </c>
      <c r="G731" s="1"/>
      <c r="H731" s="1" t="s">
        <v>588</v>
      </c>
      <c r="I731" s="1" t="s">
        <v>28</v>
      </c>
      <c r="J731" s="1" t="s">
        <v>31</v>
      </c>
      <c r="K731">
        <v>77</v>
      </c>
    </row>
    <row r="732" spans="1:11" x14ac:dyDescent="0.25">
      <c r="A732" s="18" t="str">
        <f xml:space="preserve">  MapNameLkup</f>
        <v>m_ofs_trex_ar_invoices</v>
      </c>
      <c r="B732" s="1" t="s">
        <v>101</v>
      </c>
      <c r="C732" s="1" t="s">
        <v>105</v>
      </c>
      <c r="D732" s="1" t="s">
        <v>1</v>
      </c>
      <c r="E732" s="1" t="s">
        <v>111</v>
      </c>
      <c r="F732">
        <v>1</v>
      </c>
      <c r="G732" s="1"/>
      <c r="H732" s="1" t="s">
        <v>589</v>
      </c>
      <c r="I732" s="1" t="s">
        <v>28</v>
      </c>
      <c r="J732" s="1" t="s">
        <v>31</v>
      </c>
      <c r="K732">
        <v>78</v>
      </c>
    </row>
    <row r="733" spans="1:11" x14ac:dyDescent="0.25">
      <c r="A733" s="18" t="str">
        <f xml:space="preserve">  MapNameLkup</f>
        <v>m_ofs_trex_ar_invoices</v>
      </c>
      <c r="B733" s="1" t="s">
        <v>101</v>
      </c>
      <c r="C733" s="1" t="s">
        <v>105</v>
      </c>
      <c r="D733" s="1" t="s">
        <v>1</v>
      </c>
      <c r="E733" s="1" t="s">
        <v>111</v>
      </c>
      <c r="F733">
        <v>1</v>
      </c>
      <c r="G733" s="1"/>
      <c r="H733" s="1" t="s">
        <v>590</v>
      </c>
      <c r="I733" s="1" t="s">
        <v>28</v>
      </c>
      <c r="J733" s="1" t="s">
        <v>31</v>
      </c>
      <c r="K733">
        <v>79</v>
      </c>
    </row>
    <row r="734" spans="1:11" x14ac:dyDescent="0.25">
      <c r="A734" s="18" t="str">
        <f xml:space="preserve">  MapNameLkup</f>
        <v>m_ofs_trex_ar_invoices</v>
      </c>
      <c r="B734" s="1" t="s">
        <v>101</v>
      </c>
      <c r="C734" s="1" t="s">
        <v>105</v>
      </c>
      <c r="D734" s="1" t="s">
        <v>1</v>
      </c>
      <c r="E734" s="1" t="s">
        <v>111</v>
      </c>
      <c r="F734">
        <v>1</v>
      </c>
      <c r="G734" s="1"/>
      <c r="H734" s="1" t="s">
        <v>591</v>
      </c>
      <c r="I734" s="1" t="s">
        <v>28</v>
      </c>
      <c r="J734" s="1" t="s">
        <v>31</v>
      </c>
      <c r="K734">
        <v>80</v>
      </c>
    </row>
    <row r="735" spans="1:11" x14ac:dyDescent="0.25">
      <c r="A735" s="18" t="str">
        <f xml:space="preserve">  MapNameLkup</f>
        <v>m_ofs_trex_ar_invoices</v>
      </c>
      <c r="B735" s="1" t="s">
        <v>101</v>
      </c>
      <c r="C735" s="1" t="s">
        <v>105</v>
      </c>
      <c r="D735" s="1" t="s">
        <v>1</v>
      </c>
      <c r="E735" s="1" t="s">
        <v>111</v>
      </c>
      <c r="F735">
        <v>1</v>
      </c>
      <c r="G735" s="1"/>
      <c r="H735" s="1" t="s">
        <v>592</v>
      </c>
      <c r="I735" s="1" t="s">
        <v>28</v>
      </c>
      <c r="J735" s="1" t="s">
        <v>31</v>
      </c>
      <c r="K735">
        <v>81</v>
      </c>
    </row>
    <row r="736" spans="1:11" x14ac:dyDescent="0.25">
      <c r="A736" s="18" t="str">
        <f xml:space="preserve">  MapNameLkup</f>
        <v>m_ofs_trex_ar_invoices</v>
      </c>
      <c r="B736" s="1" t="s">
        <v>101</v>
      </c>
      <c r="C736" s="1" t="s">
        <v>105</v>
      </c>
      <c r="D736" s="1" t="s">
        <v>1</v>
      </c>
      <c r="E736" s="1" t="s">
        <v>111</v>
      </c>
      <c r="F736">
        <v>1</v>
      </c>
      <c r="G736" s="1"/>
      <c r="H736" s="1" t="s">
        <v>593</v>
      </c>
      <c r="I736" s="1" t="s">
        <v>28</v>
      </c>
      <c r="J736" s="1" t="s">
        <v>31</v>
      </c>
      <c r="K736">
        <v>82</v>
      </c>
    </row>
    <row r="737" spans="1:11" x14ac:dyDescent="0.25">
      <c r="A737" s="18" t="str">
        <f xml:space="preserve">  MapNameLkup</f>
        <v>m_ofs_trex_ar_invoices</v>
      </c>
      <c r="B737" s="1" t="s">
        <v>101</v>
      </c>
      <c r="C737" s="1" t="s">
        <v>105</v>
      </c>
      <c r="D737" s="1" t="s">
        <v>1</v>
      </c>
      <c r="E737" s="1" t="s">
        <v>111</v>
      </c>
      <c r="F737">
        <v>1</v>
      </c>
      <c r="G737" s="1"/>
      <c r="H737" s="1" t="s">
        <v>594</v>
      </c>
      <c r="I737" s="1" t="s">
        <v>28</v>
      </c>
      <c r="J737" s="1" t="s">
        <v>31</v>
      </c>
      <c r="K737">
        <v>83</v>
      </c>
    </row>
    <row r="738" spans="1:11" x14ac:dyDescent="0.25">
      <c r="A738" s="18" t="str">
        <f xml:space="preserve">  MapNameLkup</f>
        <v>m_ofs_trex_ar_invoices</v>
      </c>
      <c r="B738" s="1" t="s">
        <v>101</v>
      </c>
      <c r="C738" s="1" t="s">
        <v>105</v>
      </c>
      <c r="D738" s="1" t="s">
        <v>1</v>
      </c>
      <c r="E738" s="1" t="s">
        <v>111</v>
      </c>
      <c r="F738">
        <v>1</v>
      </c>
      <c r="G738" s="1"/>
      <c r="H738" s="1" t="s">
        <v>595</v>
      </c>
      <c r="I738" s="1" t="s">
        <v>28</v>
      </c>
      <c r="J738" s="1" t="s">
        <v>31</v>
      </c>
      <c r="K738">
        <v>84</v>
      </c>
    </row>
    <row r="739" spans="1:11" x14ac:dyDescent="0.25">
      <c r="A739" s="18" t="str">
        <f xml:space="preserve">  MapNameLkup</f>
        <v>m_ofs_trex_ar_invoices</v>
      </c>
      <c r="B739" s="1" t="s">
        <v>101</v>
      </c>
      <c r="C739" s="1" t="s">
        <v>105</v>
      </c>
      <c r="D739" s="1" t="s">
        <v>1</v>
      </c>
      <c r="E739" s="1" t="s">
        <v>111</v>
      </c>
      <c r="F739">
        <v>1</v>
      </c>
      <c r="G739" s="1"/>
      <c r="H739" s="1" t="s">
        <v>596</v>
      </c>
      <c r="I739" s="1" t="s">
        <v>28</v>
      </c>
      <c r="J739" s="1" t="s">
        <v>31</v>
      </c>
      <c r="K739">
        <v>85</v>
      </c>
    </row>
    <row r="740" spans="1:11" x14ac:dyDescent="0.25">
      <c r="A740" s="18" t="str">
        <f xml:space="preserve">  MapNameLkup</f>
        <v>m_ofs_trex_ar_invoices</v>
      </c>
      <c r="B740" s="1" t="s">
        <v>101</v>
      </c>
      <c r="C740" s="1" t="s">
        <v>105</v>
      </c>
      <c r="D740" s="1" t="s">
        <v>1</v>
      </c>
      <c r="E740" s="1" t="s">
        <v>111</v>
      </c>
      <c r="F740">
        <v>1</v>
      </c>
      <c r="G740" s="1"/>
      <c r="H740" s="1" t="s">
        <v>597</v>
      </c>
      <c r="I740" s="1" t="s">
        <v>28</v>
      </c>
      <c r="J740" s="1" t="s">
        <v>31</v>
      </c>
      <c r="K740">
        <v>86</v>
      </c>
    </row>
    <row r="741" spans="1:11" x14ac:dyDescent="0.25">
      <c r="A741" s="18" t="str">
        <f xml:space="preserve">  MapNameLkup</f>
        <v>m_ofs_trex_ar_invoices</v>
      </c>
      <c r="B741" s="1" t="s">
        <v>101</v>
      </c>
      <c r="C741" s="1" t="s">
        <v>105</v>
      </c>
      <c r="D741" s="1" t="s">
        <v>1</v>
      </c>
      <c r="E741" s="1" t="s">
        <v>111</v>
      </c>
      <c r="F741">
        <v>1</v>
      </c>
      <c r="G741" s="1"/>
      <c r="H741" s="1" t="s">
        <v>598</v>
      </c>
      <c r="I741" s="1" t="s">
        <v>28</v>
      </c>
      <c r="J741" s="1" t="s">
        <v>31</v>
      </c>
      <c r="K741">
        <v>87</v>
      </c>
    </row>
    <row r="742" spans="1:11" x14ac:dyDescent="0.25">
      <c r="A742" s="18" t="str">
        <f xml:space="preserve">  MapNameLkup</f>
        <v>m_ofs_trex_ar_invoices</v>
      </c>
      <c r="B742" s="1" t="s">
        <v>101</v>
      </c>
      <c r="C742" s="1" t="s">
        <v>105</v>
      </c>
      <c r="D742" s="1" t="s">
        <v>1</v>
      </c>
      <c r="E742" s="1" t="s">
        <v>111</v>
      </c>
      <c r="F742">
        <v>1</v>
      </c>
      <c r="G742" s="1"/>
      <c r="H742" s="1" t="s">
        <v>599</v>
      </c>
      <c r="I742" s="1" t="s">
        <v>28</v>
      </c>
      <c r="J742" s="1" t="s">
        <v>31</v>
      </c>
      <c r="K742">
        <v>88</v>
      </c>
    </row>
    <row r="743" spans="1:11" x14ac:dyDescent="0.25">
      <c r="A743" s="18" t="str">
        <f xml:space="preserve">  MapNameLkup</f>
        <v>m_ofs_trex_ar_invoices</v>
      </c>
      <c r="B743" s="1" t="s">
        <v>101</v>
      </c>
      <c r="C743" s="1" t="s">
        <v>105</v>
      </c>
      <c r="D743" s="1" t="s">
        <v>1</v>
      </c>
      <c r="E743" s="1" t="s">
        <v>111</v>
      </c>
      <c r="F743">
        <v>1</v>
      </c>
      <c r="G743" s="1"/>
      <c r="H743" s="1" t="s">
        <v>600</v>
      </c>
      <c r="I743" s="1" t="s">
        <v>28</v>
      </c>
      <c r="J743" s="1" t="s">
        <v>31</v>
      </c>
      <c r="K743">
        <v>89</v>
      </c>
    </row>
    <row r="744" spans="1:11" x14ac:dyDescent="0.25">
      <c r="A744" s="18" t="str">
        <f xml:space="preserve">  MapNameLkup</f>
        <v>m_ofs_trex_ar_invoices</v>
      </c>
      <c r="B744" s="1" t="s">
        <v>101</v>
      </c>
      <c r="C744" s="1" t="s">
        <v>105</v>
      </c>
      <c r="D744" s="1" t="s">
        <v>1</v>
      </c>
      <c r="E744" s="1" t="s">
        <v>111</v>
      </c>
      <c r="F744">
        <v>1</v>
      </c>
      <c r="G744" s="1"/>
      <c r="H744" s="1" t="s">
        <v>601</v>
      </c>
      <c r="I744" s="1" t="s">
        <v>28</v>
      </c>
      <c r="J744" s="1" t="s">
        <v>31</v>
      </c>
      <c r="K744">
        <v>90</v>
      </c>
    </row>
    <row r="745" spans="1:11" x14ac:dyDescent="0.25">
      <c r="A745" s="18" t="str">
        <f xml:space="preserve">  MapNameLkup</f>
        <v>m_ofs_trex_ar_invoices</v>
      </c>
      <c r="B745" s="1" t="s">
        <v>101</v>
      </c>
      <c r="C745" s="1" t="s">
        <v>105</v>
      </c>
      <c r="D745" s="1" t="s">
        <v>1</v>
      </c>
      <c r="E745" s="1" t="s">
        <v>111</v>
      </c>
      <c r="F745">
        <v>1</v>
      </c>
      <c r="G745" s="1"/>
      <c r="H745" s="1" t="s">
        <v>602</v>
      </c>
      <c r="I745" s="1" t="s">
        <v>28</v>
      </c>
      <c r="J745" s="1" t="s">
        <v>31</v>
      </c>
      <c r="K745">
        <v>91</v>
      </c>
    </row>
    <row r="746" spans="1:11" x14ac:dyDescent="0.25">
      <c r="A746" s="18" t="str">
        <f xml:space="preserve">  MapNameLkup</f>
        <v>m_ofs_trex_ar_invoices</v>
      </c>
      <c r="B746" s="1" t="s">
        <v>101</v>
      </c>
      <c r="C746" s="1" t="s">
        <v>105</v>
      </c>
      <c r="D746" s="1" t="s">
        <v>1</v>
      </c>
      <c r="E746" s="1" t="s">
        <v>111</v>
      </c>
      <c r="F746">
        <v>1</v>
      </c>
      <c r="G746" s="1"/>
      <c r="H746" s="1" t="s">
        <v>603</v>
      </c>
      <c r="I746" s="1" t="s">
        <v>28</v>
      </c>
      <c r="J746" s="1" t="s">
        <v>31</v>
      </c>
      <c r="K746">
        <v>92</v>
      </c>
    </row>
    <row r="747" spans="1:11" x14ac:dyDescent="0.25">
      <c r="A747" s="18" t="str">
        <f xml:space="preserve">  MapNameLkup</f>
        <v>m_ofs_trex_ar_invoices</v>
      </c>
      <c r="B747" s="1" t="s">
        <v>101</v>
      </c>
      <c r="C747" s="1" t="s">
        <v>105</v>
      </c>
      <c r="D747" s="1" t="s">
        <v>1</v>
      </c>
      <c r="E747" s="1" t="s">
        <v>111</v>
      </c>
      <c r="F747">
        <v>1</v>
      </c>
      <c r="G747" s="1"/>
      <c r="H747" s="1" t="s">
        <v>604</v>
      </c>
      <c r="I747" s="1" t="s">
        <v>28</v>
      </c>
      <c r="J747" s="1" t="s">
        <v>31</v>
      </c>
      <c r="K747">
        <v>93</v>
      </c>
    </row>
    <row r="748" spans="1:11" x14ac:dyDescent="0.25">
      <c r="A748" s="18" t="str">
        <f xml:space="preserve">  MapNameLkup</f>
        <v>m_ofs_trex_ar_invoices</v>
      </c>
      <c r="B748" s="1" t="s">
        <v>101</v>
      </c>
      <c r="C748" s="1" t="s">
        <v>105</v>
      </c>
      <c r="D748" s="1" t="s">
        <v>1</v>
      </c>
      <c r="E748" s="1" t="s">
        <v>111</v>
      </c>
      <c r="F748">
        <v>1</v>
      </c>
      <c r="G748" s="1"/>
      <c r="H748" s="1" t="s">
        <v>605</v>
      </c>
      <c r="I748" s="1" t="s">
        <v>28</v>
      </c>
      <c r="J748" s="1" t="s">
        <v>31</v>
      </c>
      <c r="K748">
        <v>94</v>
      </c>
    </row>
    <row r="749" spans="1:11" x14ac:dyDescent="0.25">
      <c r="A749" s="18" t="str">
        <f xml:space="preserve">  MapNameLkup</f>
        <v>m_ofs_trex_ar_invoices</v>
      </c>
      <c r="B749" s="1" t="s">
        <v>101</v>
      </c>
      <c r="C749" s="1" t="s">
        <v>105</v>
      </c>
      <c r="D749" s="1" t="s">
        <v>1</v>
      </c>
      <c r="E749" s="1" t="s">
        <v>111</v>
      </c>
      <c r="F749">
        <v>1</v>
      </c>
      <c r="G749" s="1"/>
      <c r="H749" s="1" t="s">
        <v>606</v>
      </c>
      <c r="I749" s="1" t="s">
        <v>28</v>
      </c>
      <c r="J749" s="1" t="s">
        <v>31</v>
      </c>
      <c r="K749">
        <v>95</v>
      </c>
    </row>
    <row r="750" spans="1:11" x14ac:dyDescent="0.25">
      <c r="A750" s="18" t="str">
        <f xml:space="preserve">  MapNameLkup</f>
        <v>m_ofs_trex_ar_invoices</v>
      </c>
      <c r="B750" s="1" t="s">
        <v>101</v>
      </c>
      <c r="C750" s="1" t="s">
        <v>105</v>
      </c>
      <c r="D750" s="1" t="s">
        <v>1</v>
      </c>
      <c r="E750" s="1" t="s">
        <v>111</v>
      </c>
      <c r="F750">
        <v>1</v>
      </c>
      <c r="G750" s="1"/>
      <c r="H750" s="1" t="s">
        <v>607</v>
      </c>
      <c r="I750" s="1" t="s">
        <v>28</v>
      </c>
      <c r="J750" s="1" t="s">
        <v>31</v>
      </c>
      <c r="K750">
        <v>96</v>
      </c>
    </row>
    <row r="751" spans="1:11" x14ac:dyDescent="0.25">
      <c r="A751" s="18" t="str">
        <f xml:space="preserve">  MapNameLkup</f>
        <v>m_ofs_trex_ar_invoices</v>
      </c>
      <c r="B751" s="1" t="s">
        <v>101</v>
      </c>
      <c r="C751" s="1" t="s">
        <v>105</v>
      </c>
      <c r="D751" s="1" t="s">
        <v>1</v>
      </c>
      <c r="E751" s="1" t="s">
        <v>111</v>
      </c>
      <c r="F751">
        <v>1</v>
      </c>
      <c r="G751" s="1"/>
      <c r="H751" s="1" t="s">
        <v>608</v>
      </c>
      <c r="I751" s="1" t="s">
        <v>28</v>
      </c>
      <c r="J751" s="1" t="s">
        <v>31</v>
      </c>
      <c r="K751">
        <v>97</v>
      </c>
    </row>
    <row r="752" spans="1:11" x14ac:dyDescent="0.25">
      <c r="A752" s="18" t="str">
        <f xml:space="preserve">  MapNameLkup</f>
        <v>m_ofs_trex_ar_invoices</v>
      </c>
      <c r="B752" s="1" t="s">
        <v>101</v>
      </c>
      <c r="C752" s="1" t="s">
        <v>105</v>
      </c>
      <c r="D752" s="1" t="s">
        <v>1</v>
      </c>
      <c r="E752" s="1" t="s">
        <v>111</v>
      </c>
      <c r="F752">
        <v>1</v>
      </c>
      <c r="G752" s="1"/>
      <c r="H752" s="1" t="s">
        <v>609</v>
      </c>
      <c r="I752" s="1" t="s">
        <v>28</v>
      </c>
      <c r="J752" s="1" t="s">
        <v>31</v>
      </c>
      <c r="K752">
        <v>98</v>
      </c>
    </row>
    <row r="753" spans="1:11" x14ac:dyDescent="0.25">
      <c r="A753" s="18" t="str">
        <f xml:space="preserve">  MapNameLkup</f>
        <v>m_ofs_trex_ar_invoices</v>
      </c>
      <c r="B753" s="1" t="s">
        <v>101</v>
      </c>
      <c r="C753" s="1" t="s">
        <v>105</v>
      </c>
      <c r="D753" s="1" t="s">
        <v>1</v>
      </c>
      <c r="E753" s="1" t="s">
        <v>111</v>
      </c>
      <c r="F753">
        <v>1</v>
      </c>
      <c r="G753" s="1"/>
      <c r="H753" s="1" t="s">
        <v>610</v>
      </c>
      <c r="I753" s="1" t="s">
        <v>28</v>
      </c>
      <c r="J753" s="1" t="s">
        <v>31</v>
      </c>
      <c r="K753">
        <v>99</v>
      </c>
    </row>
    <row r="754" spans="1:11" x14ac:dyDescent="0.25">
      <c r="A754" s="18" t="str">
        <f xml:space="preserve">  MapNameLkup</f>
        <v>m_ofs_trex_ar_invoices</v>
      </c>
      <c r="B754" s="1" t="s">
        <v>101</v>
      </c>
      <c r="C754" s="1" t="s">
        <v>105</v>
      </c>
      <c r="D754" s="1" t="s">
        <v>1</v>
      </c>
      <c r="E754" s="1" t="s">
        <v>111</v>
      </c>
      <c r="F754">
        <v>1</v>
      </c>
      <c r="G754" s="1"/>
      <c r="H754" s="1" t="s">
        <v>611</v>
      </c>
      <c r="I754" s="1" t="s">
        <v>28</v>
      </c>
      <c r="J754" s="1" t="s">
        <v>31</v>
      </c>
      <c r="K754">
        <v>100</v>
      </c>
    </row>
    <row r="755" spans="1:11" x14ac:dyDescent="0.25">
      <c r="A755" s="18" t="str">
        <f xml:space="preserve">  MapNameLkup</f>
        <v>m_ofs_trex_ar_invoices</v>
      </c>
      <c r="B755" s="1" t="s">
        <v>101</v>
      </c>
      <c r="C755" s="1" t="s">
        <v>105</v>
      </c>
      <c r="D755" s="1" t="s">
        <v>1</v>
      </c>
      <c r="E755" s="1" t="s">
        <v>111</v>
      </c>
      <c r="F755">
        <v>1</v>
      </c>
      <c r="G755" s="1"/>
      <c r="H755" s="1" t="s">
        <v>612</v>
      </c>
      <c r="I755" s="1" t="s">
        <v>28</v>
      </c>
      <c r="J755" s="1" t="s">
        <v>31</v>
      </c>
      <c r="K755">
        <v>101</v>
      </c>
    </row>
    <row r="756" spans="1:11" x14ac:dyDescent="0.25">
      <c r="A756" s="18" t="str">
        <f xml:space="preserve">  MapNameLkup</f>
        <v>m_ofs_trex_ar_invoices</v>
      </c>
      <c r="B756" s="1" t="s">
        <v>101</v>
      </c>
      <c r="C756" s="1" t="s">
        <v>105</v>
      </c>
      <c r="D756" s="1" t="s">
        <v>1</v>
      </c>
      <c r="E756" s="1" t="s">
        <v>111</v>
      </c>
      <c r="F756">
        <v>1</v>
      </c>
      <c r="G756" s="1"/>
      <c r="H756" s="1" t="s">
        <v>613</v>
      </c>
      <c r="I756" s="1" t="s">
        <v>28</v>
      </c>
      <c r="J756" s="1" t="s">
        <v>31</v>
      </c>
      <c r="K756">
        <v>102</v>
      </c>
    </row>
    <row r="757" spans="1:11" x14ac:dyDescent="0.25">
      <c r="A757" s="18" t="str">
        <f xml:space="preserve">  MapNameLkup</f>
        <v>m_ofs_trex_ar_invoices</v>
      </c>
      <c r="B757" s="1" t="s">
        <v>101</v>
      </c>
      <c r="C757" s="1" t="s">
        <v>105</v>
      </c>
      <c r="D757" s="1" t="s">
        <v>1</v>
      </c>
      <c r="E757" s="1" t="s">
        <v>111</v>
      </c>
      <c r="F757">
        <v>1</v>
      </c>
      <c r="G757" s="1"/>
      <c r="H757" s="1" t="s">
        <v>614</v>
      </c>
      <c r="I757" s="1" t="s">
        <v>28</v>
      </c>
      <c r="J757" s="1" t="s">
        <v>31</v>
      </c>
      <c r="K757">
        <v>103</v>
      </c>
    </row>
    <row r="758" spans="1:11" x14ac:dyDescent="0.25">
      <c r="A758" s="18" t="str">
        <f xml:space="preserve">  MapNameLkup</f>
        <v>m_ofs_trex_ar_invoices</v>
      </c>
      <c r="B758" s="1" t="s">
        <v>101</v>
      </c>
      <c r="C758" s="1" t="s">
        <v>105</v>
      </c>
      <c r="D758" s="1" t="s">
        <v>1</v>
      </c>
      <c r="E758" s="1" t="s">
        <v>111</v>
      </c>
      <c r="F758">
        <v>1</v>
      </c>
      <c r="G758" s="1"/>
      <c r="H758" s="1" t="s">
        <v>615</v>
      </c>
      <c r="I758" s="1" t="s">
        <v>28</v>
      </c>
      <c r="J758" s="1" t="s">
        <v>31</v>
      </c>
      <c r="K758">
        <v>104</v>
      </c>
    </row>
    <row r="759" spans="1:11" x14ac:dyDescent="0.25">
      <c r="A759" s="18" t="str">
        <f xml:space="preserve">  MapNameLkup</f>
        <v>m_ofs_trex_ar_invoices</v>
      </c>
      <c r="B759" s="1" t="s">
        <v>101</v>
      </c>
      <c r="C759" s="1" t="s">
        <v>105</v>
      </c>
      <c r="D759" s="1" t="s">
        <v>1</v>
      </c>
      <c r="E759" s="1" t="s">
        <v>111</v>
      </c>
      <c r="F759">
        <v>1</v>
      </c>
      <c r="G759" s="1"/>
      <c r="H759" s="1" t="s">
        <v>616</v>
      </c>
      <c r="I759" s="1" t="s">
        <v>28</v>
      </c>
      <c r="J759" s="1" t="s">
        <v>31</v>
      </c>
      <c r="K759">
        <v>105</v>
      </c>
    </row>
    <row r="760" spans="1:11" x14ac:dyDescent="0.25">
      <c r="A760" s="18" t="str">
        <f xml:space="preserve">  MapNameLkup</f>
        <v>m_ofs_trex_ar_invoices</v>
      </c>
      <c r="B760" s="1" t="s">
        <v>101</v>
      </c>
      <c r="C760" s="1" t="s">
        <v>105</v>
      </c>
      <c r="D760" s="1" t="s">
        <v>1</v>
      </c>
      <c r="E760" s="1" t="s">
        <v>111</v>
      </c>
      <c r="F760">
        <v>1</v>
      </c>
      <c r="G760" s="1"/>
      <c r="H760" s="1" t="s">
        <v>617</v>
      </c>
      <c r="I760" s="1" t="s">
        <v>28</v>
      </c>
      <c r="J760" s="1" t="s">
        <v>31</v>
      </c>
      <c r="K760">
        <v>106</v>
      </c>
    </row>
    <row r="761" spans="1:11" x14ac:dyDescent="0.25">
      <c r="A761" s="18" t="str">
        <f xml:space="preserve">  MapNameLkup</f>
        <v>m_ofs_trex_ar_invoices</v>
      </c>
      <c r="B761" s="1" t="s">
        <v>101</v>
      </c>
      <c r="C761" s="1" t="s">
        <v>105</v>
      </c>
      <c r="D761" s="1" t="s">
        <v>1</v>
      </c>
      <c r="E761" s="1" t="s">
        <v>111</v>
      </c>
      <c r="F761">
        <v>1</v>
      </c>
      <c r="G761" s="1"/>
      <c r="H761" s="1" t="s">
        <v>618</v>
      </c>
      <c r="I761" s="1" t="s">
        <v>28</v>
      </c>
      <c r="J761" s="1" t="s">
        <v>31</v>
      </c>
      <c r="K761">
        <v>107</v>
      </c>
    </row>
    <row r="762" spans="1:11" x14ac:dyDescent="0.25">
      <c r="A762" s="18" t="str">
        <f xml:space="preserve">  MapNameLkup</f>
        <v>m_ofs_trex_ar_invoices</v>
      </c>
      <c r="B762" s="1" t="s">
        <v>101</v>
      </c>
      <c r="C762" s="1" t="s">
        <v>105</v>
      </c>
      <c r="D762" s="1" t="s">
        <v>1</v>
      </c>
      <c r="E762" s="1" t="s">
        <v>111</v>
      </c>
      <c r="F762">
        <v>1</v>
      </c>
      <c r="G762" s="1"/>
      <c r="H762" s="1" t="s">
        <v>619</v>
      </c>
      <c r="I762" s="1" t="s">
        <v>28</v>
      </c>
      <c r="J762" s="1" t="s">
        <v>31</v>
      </c>
      <c r="K762">
        <v>108</v>
      </c>
    </row>
    <row r="763" spans="1:11" x14ac:dyDescent="0.25">
      <c r="A763" s="18" t="str">
        <f xml:space="preserve">  MapNameLkup</f>
        <v>m_ofs_trex_ar_invoices</v>
      </c>
      <c r="B763" s="1" t="s">
        <v>101</v>
      </c>
      <c r="C763" s="1" t="s">
        <v>105</v>
      </c>
      <c r="D763" s="1" t="s">
        <v>1</v>
      </c>
      <c r="E763" s="1" t="s">
        <v>111</v>
      </c>
      <c r="F763">
        <v>1</v>
      </c>
      <c r="G763" s="1"/>
      <c r="H763" s="1" t="s">
        <v>620</v>
      </c>
      <c r="I763" s="1" t="s">
        <v>28</v>
      </c>
      <c r="J763" s="1" t="s">
        <v>31</v>
      </c>
      <c r="K763">
        <v>109</v>
      </c>
    </row>
    <row r="764" spans="1:11" x14ac:dyDescent="0.25">
      <c r="A764" s="18" t="str">
        <f xml:space="preserve">  MapNameLkup</f>
        <v>m_ofs_trex_ar_invoices</v>
      </c>
      <c r="B764" s="1" t="s">
        <v>102</v>
      </c>
      <c r="C764" s="1" t="s">
        <v>105</v>
      </c>
      <c r="D764" s="1" t="s">
        <v>1</v>
      </c>
      <c r="E764" s="1" t="s">
        <v>107</v>
      </c>
      <c r="F764">
        <v>1</v>
      </c>
      <c r="G764" s="1"/>
      <c r="H764" s="1" t="s">
        <v>326</v>
      </c>
      <c r="I764" s="1" t="s">
        <v>28</v>
      </c>
      <c r="J764" s="1" t="s">
        <v>32</v>
      </c>
      <c r="K764">
        <v>1</v>
      </c>
    </row>
    <row r="765" spans="1:11" x14ac:dyDescent="0.25">
      <c r="A765" s="18" t="str">
        <f xml:space="preserve">  MapNameLkup</f>
        <v>m_ofs_trex_ar_invoices</v>
      </c>
      <c r="B765" s="1" t="s">
        <v>102</v>
      </c>
      <c r="C765" s="1" t="s">
        <v>105</v>
      </c>
      <c r="D765" s="1" t="s">
        <v>1</v>
      </c>
      <c r="E765" s="1" t="s">
        <v>107</v>
      </c>
      <c r="F765">
        <v>1</v>
      </c>
      <c r="G765" s="1"/>
      <c r="H765" s="1" t="s">
        <v>154</v>
      </c>
      <c r="I765" s="1" t="s">
        <v>28</v>
      </c>
      <c r="J765" s="1" t="s">
        <v>32</v>
      </c>
      <c r="K765">
        <v>2</v>
      </c>
    </row>
    <row r="766" spans="1:11" x14ac:dyDescent="0.25">
      <c r="A766" s="18" t="str">
        <f xml:space="preserve">  MapNameLkup</f>
        <v>m_ofs_trex_ar_invoices</v>
      </c>
      <c r="B766" s="1" t="s">
        <v>102</v>
      </c>
      <c r="C766" s="1" t="s">
        <v>105</v>
      </c>
      <c r="D766" s="1" t="s">
        <v>1</v>
      </c>
      <c r="E766" s="1" t="s">
        <v>107</v>
      </c>
      <c r="F766">
        <v>1</v>
      </c>
      <c r="G766" s="1"/>
      <c r="H766" s="1" t="s">
        <v>155</v>
      </c>
      <c r="I766" s="1" t="s">
        <v>28</v>
      </c>
      <c r="J766" s="1" t="s">
        <v>32</v>
      </c>
      <c r="K766">
        <v>3</v>
      </c>
    </row>
    <row r="767" spans="1:11" x14ac:dyDescent="0.25">
      <c r="A767" s="18" t="str">
        <f xml:space="preserve">  MapNameLkup</f>
        <v>m_ofs_trex_ar_invoices</v>
      </c>
      <c r="B767" s="1" t="s">
        <v>102</v>
      </c>
      <c r="C767" s="1" t="s">
        <v>105</v>
      </c>
      <c r="D767" s="1" t="s">
        <v>1</v>
      </c>
      <c r="E767" s="1" t="s">
        <v>107</v>
      </c>
      <c r="F767">
        <v>1</v>
      </c>
      <c r="G767" s="1"/>
      <c r="H767" s="1" t="s">
        <v>156</v>
      </c>
      <c r="I767" s="1" t="s">
        <v>28</v>
      </c>
      <c r="J767" s="1" t="s">
        <v>32</v>
      </c>
      <c r="K767">
        <v>4</v>
      </c>
    </row>
    <row r="768" spans="1:11" x14ac:dyDescent="0.25">
      <c r="A768" s="18" t="str">
        <f xml:space="preserve">  MapNameLkup</f>
        <v>m_ofs_trex_ar_invoices</v>
      </c>
      <c r="B768" s="1" t="s">
        <v>102</v>
      </c>
      <c r="C768" s="1" t="s">
        <v>105</v>
      </c>
      <c r="D768" s="1" t="s">
        <v>1</v>
      </c>
      <c r="E768" s="1" t="s">
        <v>107</v>
      </c>
      <c r="F768">
        <v>1</v>
      </c>
      <c r="G768" s="1"/>
      <c r="H768" s="1" t="s">
        <v>157</v>
      </c>
      <c r="I768" s="1" t="s">
        <v>28</v>
      </c>
      <c r="J768" s="1" t="s">
        <v>32</v>
      </c>
      <c r="K768">
        <v>5</v>
      </c>
    </row>
    <row r="769" spans="1:11" x14ac:dyDescent="0.25">
      <c r="A769" s="18" t="str">
        <f xml:space="preserve">  MapNameLkup</f>
        <v>m_ofs_trex_ar_invoices</v>
      </c>
      <c r="B769" s="1" t="s">
        <v>102</v>
      </c>
      <c r="C769" s="1" t="s">
        <v>105</v>
      </c>
      <c r="D769" s="1" t="s">
        <v>1</v>
      </c>
      <c r="E769" s="1" t="s">
        <v>107</v>
      </c>
      <c r="F769">
        <v>1</v>
      </c>
      <c r="G769" s="1"/>
      <c r="H769" s="1" t="s">
        <v>158</v>
      </c>
      <c r="I769" s="1" t="s">
        <v>28</v>
      </c>
      <c r="J769" s="1" t="s">
        <v>31</v>
      </c>
      <c r="K769">
        <v>6</v>
      </c>
    </row>
    <row r="770" spans="1:11" x14ac:dyDescent="0.25">
      <c r="A770" s="18" t="str">
        <f xml:space="preserve">  MapNameLkup</f>
        <v>m_ofs_trex_ar_invoices</v>
      </c>
      <c r="B770" s="1" t="s">
        <v>102</v>
      </c>
      <c r="C770" s="1" t="s">
        <v>105</v>
      </c>
      <c r="D770" s="1" t="s">
        <v>1</v>
      </c>
      <c r="E770" s="1" t="s">
        <v>107</v>
      </c>
      <c r="F770">
        <v>1</v>
      </c>
      <c r="G770" s="1"/>
      <c r="H770" s="1" t="s">
        <v>372</v>
      </c>
      <c r="I770" s="1" t="s">
        <v>28</v>
      </c>
      <c r="J770" s="1" t="s">
        <v>32</v>
      </c>
      <c r="K770">
        <v>7</v>
      </c>
    </row>
    <row r="771" spans="1:11" x14ac:dyDescent="0.25">
      <c r="A771" s="18" t="str">
        <f xml:space="preserve">  MapNameLkup</f>
        <v>m_ofs_trex_ar_invoices</v>
      </c>
      <c r="B771" s="1" t="s">
        <v>102</v>
      </c>
      <c r="C771" s="1" t="s">
        <v>105</v>
      </c>
      <c r="D771" s="1" t="s">
        <v>1</v>
      </c>
      <c r="E771" s="1" t="s">
        <v>107</v>
      </c>
      <c r="F771">
        <v>1</v>
      </c>
      <c r="G771" s="1"/>
      <c r="H771" s="1" t="s">
        <v>323</v>
      </c>
      <c r="I771" s="1" t="s">
        <v>28</v>
      </c>
      <c r="J771" s="1" t="s">
        <v>32</v>
      </c>
      <c r="K771">
        <v>8</v>
      </c>
    </row>
    <row r="772" spans="1:11" x14ac:dyDescent="0.25">
      <c r="A772" s="18" t="str">
        <f xml:space="preserve">  MapNameLkup</f>
        <v>m_ofs_trex_ar_invoices</v>
      </c>
      <c r="B772" s="1" t="s">
        <v>102</v>
      </c>
      <c r="C772" s="1" t="s">
        <v>105</v>
      </c>
      <c r="D772" s="1" t="s">
        <v>1</v>
      </c>
      <c r="E772" s="1" t="s">
        <v>107</v>
      </c>
      <c r="F772">
        <v>1</v>
      </c>
      <c r="G772" s="1"/>
      <c r="H772" s="1" t="s">
        <v>373</v>
      </c>
      <c r="I772" s="1" t="s">
        <v>28</v>
      </c>
      <c r="J772" s="1" t="s">
        <v>32</v>
      </c>
      <c r="K772">
        <v>9</v>
      </c>
    </row>
    <row r="773" spans="1:11" x14ac:dyDescent="0.25">
      <c r="A773" s="18" t="str">
        <f xml:space="preserve">  MapNameLkup</f>
        <v>m_ofs_trex_ar_invoices</v>
      </c>
      <c r="B773" s="1" t="s">
        <v>102</v>
      </c>
      <c r="C773" s="1" t="s">
        <v>105</v>
      </c>
      <c r="D773" s="1" t="s">
        <v>1</v>
      </c>
      <c r="E773" s="1" t="s">
        <v>107</v>
      </c>
      <c r="F773">
        <v>1</v>
      </c>
      <c r="G773" s="1"/>
      <c r="H773" s="1" t="s">
        <v>405</v>
      </c>
      <c r="I773" s="1" t="s">
        <v>28</v>
      </c>
      <c r="J773" s="1" t="s">
        <v>32</v>
      </c>
      <c r="K773">
        <v>10</v>
      </c>
    </row>
    <row r="774" spans="1:11" x14ac:dyDescent="0.25">
      <c r="A774" s="18" t="str">
        <f xml:space="preserve">  MapNameLkup</f>
        <v>m_ofs_trex_ar_invoices</v>
      </c>
      <c r="B774" s="1" t="s">
        <v>102</v>
      </c>
      <c r="C774" s="1" t="s">
        <v>105</v>
      </c>
      <c r="D774" s="1" t="s">
        <v>1</v>
      </c>
      <c r="E774" s="1" t="s">
        <v>107</v>
      </c>
      <c r="F774">
        <v>1</v>
      </c>
      <c r="G774" s="1"/>
      <c r="H774" s="1" t="s">
        <v>621</v>
      </c>
      <c r="I774" s="1" t="s">
        <v>28</v>
      </c>
      <c r="J774" s="1" t="s">
        <v>31</v>
      </c>
      <c r="K774">
        <v>11</v>
      </c>
    </row>
    <row r="775" spans="1:11" x14ac:dyDescent="0.25">
      <c r="A775" s="18" t="str">
        <f xml:space="preserve">  MapNameLkup</f>
        <v>m_ofs_trex_ar_invoices</v>
      </c>
      <c r="B775" s="1" t="s">
        <v>102</v>
      </c>
      <c r="C775" s="1" t="s">
        <v>105</v>
      </c>
      <c r="D775" s="1" t="s">
        <v>1</v>
      </c>
      <c r="E775" s="1" t="s">
        <v>107</v>
      </c>
      <c r="F775">
        <v>1</v>
      </c>
      <c r="G775" s="1"/>
      <c r="H775" s="1" t="s">
        <v>622</v>
      </c>
      <c r="I775" s="1" t="s">
        <v>28</v>
      </c>
      <c r="J775" s="1" t="s">
        <v>31</v>
      </c>
      <c r="K775">
        <v>12</v>
      </c>
    </row>
    <row r="776" spans="1:11" x14ac:dyDescent="0.25">
      <c r="A776" s="18" t="str">
        <f xml:space="preserve">  MapNameLkup</f>
        <v>m_ofs_trex_ar_invoices</v>
      </c>
      <c r="B776" s="1" t="s">
        <v>102</v>
      </c>
      <c r="C776" s="1" t="s">
        <v>105</v>
      </c>
      <c r="D776" s="1" t="s">
        <v>1</v>
      </c>
      <c r="E776" s="1" t="s">
        <v>107</v>
      </c>
      <c r="F776">
        <v>1</v>
      </c>
      <c r="G776" s="1"/>
      <c r="H776" s="1" t="s">
        <v>153</v>
      </c>
      <c r="I776" s="1" t="s">
        <v>28</v>
      </c>
      <c r="J776" s="1" t="s">
        <v>31</v>
      </c>
      <c r="K776">
        <v>13</v>
      </c>
    </row>
    <row r="777" spans="1:11" x14ac:dyDescent="0.25">
      <c r="A777" s="18" t="str">
        <f xml:space="preserve">  MapNameLkup</f>
        <v>m_ofs_trex_ar_invoices</v>
      </c>
      <c r="B777" s="1" t="s">
        <v>102</v>
      </c>
      <c r="C777" s="1" t="s">
        <v>105</v>
      </c>
      <c r="D777" s="1" t="s">
        <v>1</v>
      </c>
      <c r="E777" s="1" t="s">
        <v>107</v>
      </c>
      <c r="F777">
        <v>1</v>
      </c>
      <c r="G777" s="1"/>
      <c r="H777" s="1" t="s">
        <v>623</v>
      </c>
      <c r="I777" s="1" t="s">
        <v>28</v>
      </c>
      <c r="J777" s="1" t="s">
        <v>31</v>
      </c>
      <c r="K777">
        <v>14</v>
      </c>
    </row>
    <row r="778" spans="1:11" x14ac:dyDescent="0.25">
      <c r="A778" s="18" t="str">
        <f xml:space="preserve">  MapNameLkup</f>
        <v>m_ofs_trex_ar_invoices</v>
      </c>
      <c r="B778" s="1" t="s">
        <v>102</v>
      </c>
      <c r="C778" s="1" t="s">
        <v>105</v>
      </c>
      <c r="D778" s="1" t="s">
        <v>1</v>
      </c>
      <c r="E778" s="1" t="s">
        <v>107</v>
      </c>
      <c r="F778">
        <v>1</v>
      </c>
      <c r="G778" s="1"/>
      <c r="H778" s="1" t="s">
        <v>624</v>
      </c>
      <c r="I778" s="1" t="s">
        <v>28</v>
      </c>
      <c r="J778" s="1" t="s">
        <v>31</v>
      </c>
      <c r="K778">
        <v>15</v>
      </c>
    </row>
    <row r="779" spans="1:11" x14ac:dyDescent="0.25">
      <c r="A779" s="18" t="str">
        <f xml:space="preserve">  MapNameLkup</f>
        <v>m_ofs_trex_ar_invoices</v>
      </c>
      <c r="B779" s="1" t="s">
        <v>102</v>
      </c>
      <c r="C779" s="1" t="s">
        <v>105</v>
      </c>
      <c r="D779" s="1" t="s">
        <v>1</v>
      </c>
      <c r="E779" s="1" t="s">
        <v>107</v>
      </c>
      <c r="F779">
        <v>1</v>
      </c>
      <c r="G779" s="1"/>
      <c r="H779" s="1" t="s">
        <v>625</v>
      </c>
      <c r="I779" s="1" t="s">
        <v>28</v>
      </c>
      <c r="J779" s="1" t="s">
        <v>31</v>
      </c>
      <c r="K779">
        <v>16</v>
      </c>
    </row>
    <row r="780" spans="1:11" x14ac:dyDescent="0.25">
      <c r="A780" s="18" t="str">
        <f xml:space="preserve">  MapNameLkup</f>
        <v>m_ofs_trex_ar_invoices</v>
      </c>
      <c r="B780" s="1" t="s">
        <v>102</v>
      </c>
      <c r="C780" s="1" t="s">
        <v>105</v>
      </c>
      <c r="D780" s="1" t="s">
        <v>1</v>
      </c>
      <c r="E780" s="1" t="s">
        <v>107</v>
      </c>
      <c r="F780">
        <v>1</v>
      </c>
      <c r="G780" s="1"/>
      <c r="H780" s="1" t="s">
        <v>626</v>
      </c>
      <c r="I780" s="1" t="s">
        <v>28</v>
      </c>
      <c r="J780" s="1" t="s">
        <v>31</v>
      </c>
      <c r="K780">
        <v>17</v>
      </c>
    </row>
    <row r="781" spans="1:11" x14ac:dyDescent="0.25">
      <c r="A781" s="18" t="str">
        <f xml:space="preserve">  MapNameLkup</f>
        <v>m_ofs_trex_ar_invoices</v>
      </c>
      <c r="B781" s="1" t="s">
        <v>102</v>
      </c>
      <c r="C781" s="1" t="s">
        <v>105</v>
      </c>
      <c r="D781" s="1" t="s">
        <v>1</v>
      </c>
      <c r="E781" s="1" t="s">
        <v>107</v>
      </c>
      <c r="F781">
        <v>1</v>
      </c>
      <c r="G781" s="1"/>
      <c r="H781" s="1" t="s">
        <v>627</v>
      </c>
      <c r="I781" s="1" t="s">
        <v>28</v>
      </c>
      <c r="J781" s="1" t="s">
        <v>31</v>
      </c>
      <c r="K781">
        <v>18</v>
      </c>
    </row>
    <row r="782" spans="1:11" x14ac:dyDescent="0.25">
      <c r="A782" s="18" t="str">
        <f xml:space="preserve">  MapNameLkup</f>
        <v>m_ofs_trex_ar_invoices</v>
      </c>
      <c r="B782" s="1" t="s">
        <v>102</v>
      </c>
      <c r="C782" s="1" t="s">
        <v>105</v>
      </c>
      <c r="D782" s="1" t="s">
        <v>1</v>
      </c>
      <c r="E782" s="1" t="s">
        <v>107</v>
      </c>
      <c r="F782">
        <v>1</v>
      </c>
      <c r="G782" s="1"/>
      <c r="H782" s="1" t="s">
        <v>628</v>
      </c>
      <c r="I782" s="1" t="s">
        <v>28</v>
      </c>
      <c r="J782" s="1" t="s">
        <v>31</v>
      </c>
      <c r="K782">
        <v>19</v>
      </c>
    </row>
    <row r="783" spans="1:11" x14ac:dyDescent="0.25">
      <c r="A783" s="18" t="str">
        <f xml:space="preserve">  MapNameLkup</f>
        <v>m_ofs_trex_ar_invoices</v>
      </c>
      <c r="B783" s="1" t="s">
        <v>102</v>
      </c>
      <c r="C783" s="1" t="s">
        <v>105</v>
      </c>
      <c r="D783" s="1" t="s">
        <v>1</v>
      </c>
      <c r="E783" s="1" t="s">
        <v>107</v>
      </c>
      <c r="F783">
        <v>1</v>
      </c>
      <c r="G783" s="1"/>
      <c r="H783" s="1" t="s">
        <v>629</v>
      </c>
      <c r="I783" s="1" t="s">
        <v>28</v>
      </c>
      <c r="J783" s="1" t="s">
        <v>31</v>
      </c>
      <c r="K783">
        <v>20</v>
      </c>
    </row>
    <row r="784" spans="1:11" x14ac:dyDescent="0.25">
      <c r="A784" s="18" t="str">
        <f xml:space="preserve">  MapNameLkup</f>
        <v>m_ofs_trex_ar_invoices</v>
      </c>
      <c r="B784" s="1" t="s">
        <v>102</v>
      </c>
      <c r="C784" s="1" t="s">
        <v>105</v>
      </c>
      <c r="D784" s="1" t="s">
        <v>1</v>
      </c>
      <c r="E784" s="1" t="s">
        <v>107</v>
      </c>
      <c r="F784">
        <v>1</v>
      </c>
      <c r="G784" s="1"/>
      <c r="H784" s="1" t="s">
        <v>630</v>
      </c>
      <c r="I784" s="1" t="s">
        <v>28</v>
      </c>
      <c r="J784" s="1" t="s">
        <v>31</v>
      </c>
      <c r="K784">
        <v>21</v>
      </c>
    </row>
    <row r="785" spans="1:11" x14ac:dyDescent="0.25">
      <c r="A785" s="18" t="str">
        <f xml:space="preserve">  MapNameLkup</f>
        <v>m_ofs_trex_ar_invoices</v>
      </c>
      <c r="B785" s="1" t="s">
        <v>102</v>
      </c>
      <c r="C785" s="1" t="s">
        <v>105</v>
      </c>
      <c r="D785" s="1" t="s">
        <v>1</v>
      </c>
      <c r="E785" s="1" t="s">
        <v>107</v>
      </c>
      <c r="F785">
        <v>1</v>
      </c>
      <c r="G785" s="1"/>
      <c r="H785" s="1" t="s">
        <v>631</v>
      </c>
      <c r="I785" s="1" t="s">
        <v>28</v>
      </c>
      <c r="J785" s="1" t="s">
        <v>31</v>
      </c>
      <c r="K785">
        <v>22</v>
      </c>
    </row>
    <row r="786" spans="1:11" x14ac:dyDescent="0.25">
      <c r="A786" s="18" t="str">
        <f xml:space="preserve">  MapNameLkup</f>
        <v>m_ofs_trex_ar_invoices</v>
      </c>
      <c r="B786" s="1" t="s">
        <v>102</v>
      </c>
      <c r="C786" s="1" t="s">
        <v>105</v>
      </c>
      <c r="D786" s="1" t="s">
        <v>1</v>
      </c>
      <c r="E786" s="1" t="s">
        <v>107</v>
      </c>
      <c r="F786">
        <v>1</v>
      </c>
      <c r="G786" s="1"/>
      <c r="H786" s="1" t="s">
        <v>632</v>
      </c>
      <c r="I786" s="1" t="s">
        <v>28</v>
      </c>
      <c r="J786" s="1" t="s">
        <v>31</v>
      </c>
      <c r="K786">
        <v>23</v>
      </c>
    </row>
    <row r="787" spans="1:11" x14ac:dyDescent="0.25">
      <c r="A787" s="18" t="str">
        <f xml:space="preserve">  MapNameLkup</f>
        <v>m_ofs_trex_ar_invoices</v>
      </c>
      <c r="B787" s="1" t="s">
        <v>102</v>
      </c>
      <c r="C787" s="1" t="s">
        <v>105</v>
      </c>
      <c r="D787" s="1" t="s">
        <v>1</v>
      </c>
      <c r="E787" s="1" t="s">
        <v>107</v>
      </c>
      <c r="F787">
        <v>1</v>
      </c>
      <c r="G787" s="1"/>
      <c r="H787" s="1" t="s">
        <v>633</v>
      </c>
      <c r="I787" s="1" t="s">
        <v>28</v>
      </c>
      <c r="J787" s="1" t="s">
        <v>31</v>
      </c>
      <c r="K787">
        <v>24</v>
      </c>
    </row>
    <row r="788" spans="1:11" x14ac:dyDescent="0.25">
      <c r="A788" s="18" t="str">
        <f xml:space="preserve">  MapNameLkup</f>
        <v>m_ofs_trex_ar_invoices</v>
      </c>
      <c r="B788" s="1" t="s">
        <v>102</v>
      </c>
      <c r="C788" s="1" t="s">
        <v>105</v>
      </c>
      <c r="D788" s="1" t="s">
        <v>1</v>
      </c>
      <c r="E788" s="1" t="s">
        <v>107</v>
      </c>
      <c r="F788">
        <v>1</v>
      </c>
      <c r="G788" s="1"/>
      <c r="H788" s="1" t="s">
        <v>311</v>
      </c>
      <c r="I788" s="1" t="s">
        <v>28</v>
      </c>
      <c r="J788" s="1" t="s">
        <v>31</v>
      </c>
      <c r="K788">
        <v>25</v>
      </c>
    </row>
    <row r="789" spans="1:11" x14ac:dyDescent="0.25">
      <c r="A789" s="18" t="str">
        <f xml:space="preserve">  MapNameLkup</f>
        <v>m_ofs_trex_ar_invoices</v>
      </c>
      <c r="B789" s="1" t="s">
        <v>102</v>
      </c>
      <c r="C789" s="1" t="s">
        <v>105</v>
      </c>
      <c r="D789" s="1" t="s">
        <v>1</v>
      </c>
      <c r="E789" s="1" t="s">
        <v>107</v>
      </c>
      <c r="F789">
        <v>1</v>
      </c>
      <c r="G789" s="1"/>
      <c r="H789" s="1" t="s">
        <v>634</v>
      </c>
      <c r="I789" s="1" t="s">
        <v>28</v>
      </c>
      <c r="J789" s="1" t="s">
        <v>31</v>
      </c>
      <c r="K789">
        <v>26</v>
      </c>
    </row>
    <row r="790" spans="1:11" x14ac:dyDescent="0.25">
      <c r="A790" s="18" t="str">
        <f xml:space="preserve">  MapNameLkup</f>
        <v>m_ofs_trex_ar_invoices</v>
      </c>
      <c r="B790" s="1" t="s">
        <v>102</v>
      </c>
      <c r="C790" s="1" t="s">
        <v>105</v>
      </c>
      <c r="D790" s="1" t="s">
        <v>1</v>
      </c>
      <c r="E790" s="1" t="s">
        <v>107</v>
      </c>
      <c r="F790">
        <v>1</v>
      </c>
      <c r="G790" s="1"/>
      <c r="H790" s="1" t="s">
        <v>635</v>
      </c>
      <c r="I790" s="1" t="s">
        <v>28</v>
      </c>
      <c r="J790" s="1" t="s">
        <v>31</v>
      </c>
      <c r="K790">
        <v>27</v>
      </c>
    </row>
    <row r="791" spans="1:11" x14ac:dyDescent="0.25">
      <c r="A791" s="18" t="str">
        <f xml:space="preserve">  MapNameLkup</f>
        <v>m_ofs_trex_ar_invoices</v>
      </c>
      <c r="B791" s="1" t="s">
        <v>102</v>
      </c>
      <c r="C791" s="1" t="s">
        <v>105</v>
      </c>
      <c r="D791" s="1" t="s">
        <v>1</v>
      </c>
      <c r="E791" s="1" t="s">
        <v>107</v>
      </c>
      <c r="F791">
        <v>1</v>
      </c>
      <c r="G791" s="1"/>
      <c r="H791" s="1" t="s">
        <v>636</v>
      </c>
      <c r="I791" s="1" t="s">
        <v>28</v>
      </c>
      <c r="J791" s="1" t="s">
        <v>31</v>
      </c>
      <c r="K791">
        <v>28</v>
      </c>
    </row>
    <row r="792" spans="1:11" x14ac:dyDescent="0.25">
      <c r="A792" s="18" t="str">
        <f xml:space="preserve">  MapNameLkup</f>
        <v>m_ofs_trex_ar_invoices</v>
      </c>
      <c r="B792" s="1" t="s">
        <v>102</v>
      </c>
      <c r="C792" s="1" t="s">
        <v>105</v>
      </c>
      <c r="D792" s="1" t="s">
        <v>1</v>
      </c>
      <c r="E792" s="1" t="s">
        <v>107</v>
      </c>
      <c r="F792">
        <v>1</v>
      </c>
      <c r="G792" s="1"/>
      <c r="H792" s="1" t="s">
        <v>637</v>
      </c>
      <c r="I792" s="1" t="s">
        <v>28</v>
      </c>
      <c r="J792" s="1" t="s">
        <v>31</v>
      </c>
      <c r="K792">
        <v>29</v>
      </c>
    </row>
    <row r="793" spans="1:11" x14ac:dyDescent="0.25">
      <c r="A793" s="18" t="str">
        <f xml:space="preserve">  MapNameLkup</f>
        <v>m_ofs_trex_ar_invoices</v>
      </c>
      <c r="B793" s="1" t="s">
        <v>102</v>
      </c>
      <c r="C793" s="1" t="s">
        <v>105</v>
      </c>
      <c r="D793" s="1" t="s">
        <v>1</v>
      </c>
      <c r="E793" s="1" t="s">
        <v>107</v>
      </c>
      <c r="F793">
        <v>1</v>
      </c>
      <c r="G793" s="1"/>
      <c r="H793" s="1" t="s">
        <v>638</v>
      </c>
      <c r="I793" s="1" t="s">
        <v>28</v>
      </c>
      <c r="J793" s="1" t="s">
        <v>31</v>
      </c>
      <c r="K793">
        <v>30</v>
      </c>
    </row>
    <row r="794" spans="1:11" x14ac:dyDescent="0.25">
      <c r="A794" s="18" t="str">
        <f xml:space="preserve">  MapNameLkup</f>
        <v>m_ofs_trex_ar_invoices</v>
      </c>
      <c r="B794" s="1" t="s">
        <v>102</v>
      </c>
      <c r="C794" s="1" t="s">
        <v>105</v>
      </c>
      <c r="D794" s="1" t="s">
        <v>1</v>
      </c>
      <c r="E794" s="1" t="s">
        <v>107</v>
      </c>
      <c r="F794">
        <v>1</v>
      </c>
      <c r="G794" s="1"/>
      <c r="H794" s="1" t="s">
        <v>639</v>
      </c>
      <c r="I794" s="1" t="s">
        <v>28</v>
      </c>
      <c r="J794" s="1" t="s">
        <v>31</v>
      </c>
      <c r="K794">
        <v>31</v>
      </c>
    </row>
    <row r="795" spans="1:11" x14ac:dyDescent="0.25">
      <c r="A795" s="18" t="str">
        <f xml:space="preserve">  MapNameLkup</f>
        <v>m_ofs_trex_ar_invoices</v>
      </c>
      <c r="B795" s="1" t="s">
        <v>102</v>
      </c>
      <c r="C795" s="1" t="s">
        <v>105</v>
      </c>
      <c r="D795" s="1" t="s">
        <v>1</v>
      </c>
      <c r="E795" s="1" t="s">
        <v>107</v>
      </c>
      <c r="F795">
        <v>1</v>
      </c>
      <c r="G795" s="1"/>
      <c r="H795" s="1" t="s">
        <v>640</v>
      </c>
      <c r="I795" s="1" t="s">
        <v>28</v>
      </c>
      <c r="J795" s="1" t="s">
        <v>31</v>
      </c>
      <c r="K795">
        <v>32</v>
      </c>
    </row>
    <row r="796" spans="1:11" x14ac:dyDescent="0.25">
      <c r="A796" s="18" t="str">
        <f xml:space="preserve">  MapNameLkup</f>
        <v>m_ofs_trex_ar_invoices</v>
      </c>
      <c r="B796" s="1" t="s">
        <v>102</v>
      </c>
      <c r="C796" s="1" t="s">
        <v>105</v>
      </c>
      <c r="D796" s="1" t="s">
        <v>1</v>
      </c>
      <c r="E796" s="1" t="s">
        <v>107</v>
      </c>
      <c r="F796">
        <v>1</v>
      </c>
      <c r="G796" s="1"/>
      <c r="H796" s="1" t="s">
        <v>641</v>
      </c>
      <c r="I796" s="1" t="s">
        <v>28</v>
      </c>
      <c r="J796" s="1" t="s">
        <v>31</v>
      </c>
      <c r="K796">
        <v>33</v>
      </c>
    </row>
    <row r="797" spans="1:11" x14ac:dyDescent="0.25">
      <c r="A797" s="18" t="str">
        <f xml:space="preserve">  MapNameLkup</f>
        <v>m_ofs_trex_ar_invoices</v>
      </c>
      <c r="B797" s="1" t="s">
        <v>102</v>
      </c>
      <c r="C797" s="1" t="s">
        <v>105</v>
      </c>
      <c r="D797" s="1" t="s">
        <v>1</v>
      </c>
      <c r="E797" s="1" t="s">
        <v>107</v>
      </c>
      <c r="F797">
        <v>1</v>
      </c>
      <c r="G797" s="1"/>
      <c r="H797" s="1" t="s">
        <v>642</v>
      </c>
      <c r="I797" s="1" t="s">
        <v>28</v>
      </c>
      <c r="J797" s="1" t="s">
        <v>31</v>
      </c>
      <c r="K797">
        <v>34</v>
      </c>
    </row>
    <row r="798" spans="1:11" x14ac:dyDescent="0.25">
      <c r="A798" s="18" t="str">
        <f xml:space="preserve">  MapNameLkup</f>
        <v>m_ofs_trex_ar_invoices</v>
      </c>
      <c r="B798" s="1" t="s">
        <v>102</v>
      </c>
      <c r="C798" s="1" t="s">
        <v>105</v>
      </c>
      <c r="D798" s="1" t="s">
        <v>1</v>
      </c>
      <c r="E798" s="1" t="s">
        <v>107</v>
      </c>
      <c r="F798">
        <v>1</v>
      </c>
      <c r="G798" s="1"/>
      <c r="H798" s="1" t="s">
        <v>643</v>
      </c>
      <c r="I798" s="1" t="s">
        <v>28</v>
      </c>
      <c r="J798" s="1" t="s">
        <v>31</v>
      </c>
      <c r="K798">
        <v>35</v>
      </c>
    </row>
    <row r="799" spans="1:11" x14ac:dyDescent="0.25">
      <c r="A799" s="18" t="str">
        <f xml:space="preserve">  MapNameLkup</f>
        <v>m_ofs_trex_ar_invoices</v>
      </c>
      <c r="B799" s="1" t="s">
        <v>102</v>
      </c>
      <c r="C799" s="1" t="s">
        <v>105</v>
      </c>
      <c r="D799" s="1" t="s">
        <v>1</v>
      </c>
      <c r="E799" s="1" t="s">
        <v>107</v>
      </c>
      <c r="F799">
        <v>1</v>
      </c>
      <c r="G799" s="1"/>
      <c r="H799" s="1" t="s">
        <v>644</v>
      </c>
      <c r="I799" s="1" t="s">
        <v>28</v>
      </c>
      <c r="J799" s="1" t="s">
        <v>31</v>
      </c>
      <c r="K799">
        <v>36</v>
      </c>
    </row>
    <row r="800" spans="1:11" x14ac:dyDescent="0.25">
      <c r="A800" s="18" t="str">
        <f xml:space="preserve">  MapNameLkup</f>
        <v>m_ofs_trex_ar_invoices</v>
      </c>
      <c r="B800" s="1" t="s">
        <v>102</v>
      </c>
      <c r="C800" s="1" t="s">
        <v>105</v>
      </c>
      <c r="D800" s="1" t="s">
        <v>1</v>
      </c>
      <c r="E800" s="1" t="s">
        <v>107</v>
      </c>
      <c r="F800">
        <v>1</v>
      </c>
      <c r="G800" s="1"/>
      <c r="H800" s="1" t="s">
        <v>474</v>
      </c>
      <c r="I800" s="1" t="s">
        <v>28</v>
      </c>
      <c r="J800" s="1" t="s">
        <v>31</v>
      </c>
      <c r="K800">
        <v>37</v>
      </c>
    </row>
    <row r="801" spans="1:11" x14ac:dyDescent="0.25">
      <c r="A801" s="18" t="str">
        <f xml:space="preserve">  MapNameLkup</f>
        <v>m_ofs_trex_ar_invoices</v>
      </c>
      <c r="B801" s="1" t="s">
        <v>102</v>
      </c>
      <c r="C801" s="1" t="s">
        <v>105</v>
      </c>
      <c r="D801" s="1" t="s">
        <v>1</v>
      </c>
      <c r="E801" s="1" t="s">
        <v>107</v>
      </c>
      <c r="F801">
        <v>1</v>
      </c>
      <c r="G801" s="1"/>
      <c r="H801" s="1" t="s">
        <v>645</v>
      </c>
      <c r="I801" s="1" t="s">
        <v>28</v>
      </c>
      <c r="J801" s="1" t="s">
        <v>31</v>
      </c>
      <c r="K801">
        <v>38</v>
      </c>
    </row>
    <row r="802" spans="1:11" x14ac:dyDescent="0.25">
      <c r="A802" s="18" t="str">
        <f xml:space="preserve">  MapNameLkup</f>
        <v>m_ofs_trex_ar_invoices</v>
      </c>
      <c r="B802" s="1" t="s">
        <v>102</v>
      </c>
      <c r="C802" s="1" t="s">
        <v>105</v>
      </c>
      <c r="D802" s="1" t="s">
        <v>1</v>
      </c>
      <c r="E802" s="1" t="s">
        <v>107</v>
      </c>
      <c r="F802">
        <v>1</v>
      </c>
      <c r="G802" s="1"/>
      <c r="H802" s="1" t="s">
        <v>423</v>
      </c>
      <c r="I802" s="1" t="s">
        <v>28</v>
      </c>
      <c r="J802" s="1" t="s">
        <v>31</v>
      </c>
      <c r="K802">
        <v>39</v>
      </c>
    </row>
    <row r="803" spans="1:11" x14ac:dyDescent="0.25">
      <c r="A803" s="18" t="str">
        <f xml:space="preserve">  MapNameLkup</f>
        <v>m_ofs_trex_ar_invoices</v>
      </c>
      <c r="B803" s="1" t="s">
        <v>102</v>
      </c>
      <c r="C803" s="1" t="s">
        <v>105</v>
      </c>
      <c r="D803" s="1" t="s">
        <v>1</v>
      </c>
      <c r="E803" s="1" t="s">
        <v>107</v>
      </c>
      <c r="F803">
        <v>1</v>
      </c>
      <c r="G803" s="1"/>
      <c r="H803" s="1" t="s">
        <v>646</v>
      </c>
      <c r="I803" s="1" t="s">
        <v>28</v>
      </c>
      <c r="J803" s="1" t="s">
        <v>31</v>
      </c>
      <c r="K803">
        <v>40</v>
      </c>
    </row>
    <row r="804" spans="1:11" x14ac:dyDescent="0.25">
      <c r="A804" s="18" t="str">
        <f xml:space="preserve">  MapNameLkup</f>
        <v>m_ofs_trex_ar_invoices</v>
      </c>
      <c r="B804" s="1" t="s">
        <v>102</v>
      </c>
      <c r="C804" s="1" t="s">
        <v>105</v>
      </c>
      <c r="D804" s="1" t="s">
        <v>1</v>
      </c>
      <c r="E804" s="1" t="s">
        <v>107</v>
      </c>
      <c r="F804">
        <v>1</v>
      </c>
      <c r="G804" s="1"/>
      <c r="H804" s="1" t="s">
        <v>359</v>
      </c>
      <c r="I804" s="1" t="s">
        <v>28</v>
      </c>
      <c r="J804" s="1" t="s">
        <v>31</v>
      </c>
      <c r="K804">
        <v>41</v>
      </c>
    </row>
    <row r="805" spans="1:11" x14ac:dyDescent="0.25">
      <c r="A805" s="18" t="str">
        <f xml:space="preserve">  MapNameLkup</f>
        <v>m_ofs_trex_ar_invoices</v>
      </c>
      <c r="B805" s="1" t="s">
        <v>102</v>
      </c>
      <c r="C805" s="1" t="s">
        <v>105</v>
      </c>
      <c r="D805" s="1" t="s">
        <v>1</v>
      </c>
      <c r="E805" s="1" t="s">
        <v>107</v>
      </c>
      <c r="F805">
        <v>1</v>
      </c>
      <c r="G805" s="1"/>
      <c r="H805" s="1" t="s">
        <v>360</v>
      </c>
      <c r="I805" s="1" t="s">
        <v>28</v>
      </c>
      <c r="J805" s="1" t="s">
        <v>31</v>
      </c>
      <c r="K805">
        <v>42</v>
      </c>
    </row>
    <row r="806" spans="1:11" x14ac:dyDescent="0.25">
      <c r="A806" s="18" t="str">
        <f xml:space="preserve">  MapNameLkup</f>
        <v>m_ofs_trex_ar_invoices</v>
      </c>
      <c r="B806" s="1" t="s">
        <v>102</v>
      </c>
      <c r="C806" s="1" t="s">
        <v>105</v>
      </c>
      <c r="D806" s="1" t="s">
        <v>1</v>
      </c>
      <c r="E806" s="1" t="s">
        <v>107</v>
      </c>
      <c r="F806">
        <v>1</v>
      </c>
      <c r="G806" s="1"/>
      <c r="H806" s="1" t="s">
        <v>361</v>
      </c>
      <c r="I806" s="1" t="s">
        <v>28</v>
      </c>
      <c r="J806" s="1" t="s">
        <v>31</v>
      </c>
      <c r="K806">
        <v>43</v>
      </c>
    </row>
    <row r="807" spans="1:11" x14ac:dyDescent="0.25">
      <c r="A807" s="18" t="str">
        <f xml:space="preserve">  MapNameLkup</f>
        <v>m_ofs_trex_ar_invoices</v>
      </c>
      <c r="B807" s="1" t="s">
        <v>102</v>
      </c>
      <c r="C807" s="1" t="s">
        <v>105</v>
      </c>
      <c r="D807" s="1" t="s">
        <v>1</v>
      </c>
      <c r="E807" s="1" t="s">
        <v>107</v>
      </c>
      <c r="F807">
        <v>1</v>
      </c>
      <c r="G807" s="1"/>
      <c r="H807" s="1" t="s">
        <v>647</v>
      </c>
      <c r="I807" s="1" t="s">
        <v>28</v>
      </c>
      <c r="J807" s="1" t="s">
        <v>31</v>
      </c>
      <c r="K807">
        <v>44</v>
      </c>
    </row>
    <row r="808" spans="1:11" x14ac:dyDescent="0.25">
      <c r="A808" s="18" t="str">
        <f xml:space="preserve">  MapNameLkup</f>
        <v>m_ofs_trex_ar_invoices</v>
      </c>
      <c r="B808" s="1" t="s">
        <v>102</v>
      </c>
      <c r="C808" s="1" t="s">
        <v>105</v>
      </c>
      <c r="D808" s="1" t="s">
        <v>1</v>
      </c>
      <c r="E808" s="1" t="s">
        <v>107</v>
      </c>
      <c r="F808">
        <v>1</v>
      </c>
      <c r="G808" s="1"/>
      <c r="H808" s="1" t="s">
        <v>321</v>
      </c>
      <c r="I808" s="1" t="s">
        <v>28</v>
      </c>
      <c r="J808" s="1" t="s">
        <v>31</v>
      </c>
      <c r="K808">
        <v>45</v>
      </c>
    </row>
    <row r="809" spans="1:11" x14ac:dyDescent="0.25">
      <c r="A809" s="18" t="str">
        <f xml:space="preserve">  MapNameLkup</f>
        <v>m_ofs_trex_ar_invoices</v>
      </c>
      <c r="B809" s="1" t="s">
        <v>102</v>
      </c>
      <c r="C809" s="1" t="s">
        <v>105</v>
      </c>
      <c r="D809" s="1" t="s">
        <v>1</v>
      </c>
      <c r="E809" s="1" t="s">
        <v>107</v>
      </c>
      <c r="F809">
        <v>1</v>
      </c>
      <c r="G809" s="1"/>
      <c r="H809" s="1" t="s">
        <v>648</v>
      </c>
      <c r="I809" s="1" t="s">
        <v>28</v>
      </c>
      <c r="J809" s="1" t="s">
        <v>31</v>
      </c>
      <c r="K809">
        <v>46</v>
      </c>
    </row>
    <row r="810" spans="1:11" x14ac:dyDescent="0.25">
      <c r="A810" s="18" t="str">
        <f xml:space="preserve">  MapNameLkup</f>
        <v>m_ofs_trex_ar_invoices</v>
      </c>
      <c r="B810" s="1" t="s">
        <v>102</v>
      </c>
      <c r="C810" s="1" t="s">
        <v>105</v>
      </c>
      <c r="D810" s="1" t="s">
        <v>1</v>
      </c>
      <c r="E810" s="1" t="s">
        <v>107</v>
      </c>
      <c r="F810">
        <v>1</v>
      </c>
      <c r="G810" s="1"/>
      <c r="H810" s="1" t="s">
        <v>649</v>
      </c>
      <c r="I810" s="1" t="s">
        <v>28</v>
      </c>
      <c r="J810" s="1" t="s">
        <v>31</v>
      </c>
      <c r="K810">
        <v>47</v>
      </c>
    </row>
    <row r="811" spans="1:11" x14ac:dyDescent="0.25">
      <c r="A811" s="18" t="str">
        <f xml:space="preserve">  MapNameLkup</f>
        <v>m_ofs_trex_ar_invoices</v>
      </c>
      <c r="B811" s="1" t="s">
        <v>102</v>
      </c>
      <c r="C811" s="1" t="s">
        <v>105</v>
      </c>
      <c r="D811" s="1" t="s">
        <v>1</v>
      </c>
      <c r="E811" s="1" t="s">
        <v>107</v>
      </c>
      <c r="F811">
        <v>1</v>
      </c>
      <c r="G811" s="1"/>
      <c r="H811" s="1" t="s">
        <v>650</v>
      </c>
      <c r="I811" s="1" t="s">
        <v>28</v>
      </c>
      <c r="J811" s="1" t="s">
        <v>31</v>
      </c>
      <c r="K811">
        <v>48</v>
      </c>
    </row>
    <row r="812" spans="1:11" x14ac:dyDescent="0.25">
      <c r="A812" s="18" t="str">
        <f xml:space="preserve">  MapNameLkup</f>
        <v>m_ofs_trex_ar_invoices</v>
      </c>
      <c r="B812" s="1" t="s">
        <v>102</v>
      </c>
      <c r="C812" s="1" t="s">
        <v>105</v>
      </c>
      <c r="D812" s="1" t="s">
        <v>1</v>
      </c>
      <c r="E812" s="1" t="s">
        <v>107</v>
      </c>
      <c r="F812">
        <v>1</v>
      </c>
      <c r="G812" s="1"/>
      <c r="H812" s="1" t="s">
        <v>651</v>
      </c>
      <c r="I812" s="1" t="s">
        <v>28</v>
      </c>
      <c r="J812" s="1" t="s">
        <v>31</v>
      </c>
      <c r="K812">
        <v>49</v>
      </c>
    </row>
    <row r="813" spans="1:11" x14ac:dyDescent="0.25">
      <c r="A813" s="18" t="str">
        <f xml:space="preserve">  MapNameLkup</f>
        <v>m_ofs_trex_ar_invoices</v>
      </c>
      <c r="B813" s="1" t="s">
        <v>102</v>
      </c>
      <c r="C813" s="1" t="s">
        <v>105</v>
      </c>
      <c r="D813" s="1" t="s">
        <v>1</v>
      </c>
      <c r="E813" s="1" t="s">
        <v>107</v>
      </c>
      <c r="F813">
        <v>1</v>
      </c>
      <c r="G813" s="1"/>
      <c r="H813" s="1" t="s">
        <v>652</v>
      </c>
      <c r="I813" s="1" t="s">
        <v>28</v>
      </c>
      <c r="J813" s="1" t="s">
        <v>31</v>
      </c>
      <c r="K813">
        <v>50</v>
      </c>
    </row>
    <row r="814" spans="1:11" x14ac:dyDescent="0.25">
      <c r="A814" s="18" t="str">
        <f xml:space="preserve">  MapNameLkup</f>
        <v>m_ofs_trex_ar_invoices</v>
      </c>
      <c r="B814" s="1" t="s">
        <v>102</v>
      </c>
      <c r="C814" s="1" t="s">
        <v>105</v>
      </c>
      <c r="D814" s="1" t="s">
        <v>1</v>
      </c>
      <c r="E814" s="1" t="s">
        <v>107</v>
      </c>
      <c r="F814">
        <v>1</v>
      </c>
      <c r="G814" s="1"/>
      <c r="H814" s="1" t="s">
        <v>163</v>
      </c>
      <c r="I814" s="1" t="s">
        <v>28</v>
      </c>
      <c r="J814" s="1" t="s">
        <v>31</v>
      </c>
      <c r="K814">
        <v>51</v>
      </c>
    </row>
    <row r="815" spans="1:11" x14ac:dyDescent="0.25">
      <c r="A815" s="18" t="str">
        <f xml:space="preserve">  MapNameLkup</f>
        <v>m_ofs_trex_ar_invoices</v>
      </c>
      <c r="B815" s="1" t="s">
        <v>102</v>
      </c>
      <c r="C815" s="1" t="s">
        <v>105</v>
      </c>
      <c r="D815" s="1" t="s">
        <v>1</v>
      </c>
      <c r="E815" s="1" t="s">
        <v>107</v>
      </c>
      <c r="F815">
        <v>1</v>
      </c>
      <c r="G815" s="1"/>
      <c r="H815" s="1" t="s">
        <v>164</v>
      </c>
      <c r="I815" s="1" t="s">
        <v>28</v>
      </c>
      <c r="J815" s="1" t="s">
        <v>31</v>
      </c>
      <c r="K815">
        <v>52</v>
      </c>
    </row>
    <row r="816" spans="1:11" x14ac:dyDescent="0.25">
      <c r="A816" s="18" t="str">
        <f xml:space="preserve">  MapNameLkup</f>
        <v>m_ofs_trex_ar_invoices</v>
      </c>
      <c r="B816" s="1" t="s">
        <v>102</v>
      </c>
      <c r="C816" s="1" t="s">
        <v>105</v>
      </c>
      <c r="D816" s="1" t="s">
        <v>1</v>
      </c>
      <c r="E816" s="1" t="s">
        <v>107</v>
      </c>
      <c r="F816">
        <v>1</v>
      </c>
      <c r="G816" s="1"/>
      <c r="H816" s="1" t="s">
        <v>165</v>
      </c>
      <c r="I816" s="1" t="s">
        <v>28</v>
      </c>
      <c r="J816" s="1" t="s">
        <v>31</v>
      </c>
      <c r="K816">
        <v>53</v>
      </c>
    </row>
    <row r="817" spans="1:11" x14ac:dyDescent="0.25">
      <c r="A817" s="18" t="str">
        <f xml:space="preserve">  MapNameLkup</f>
        <v>m_ofs_trex_ar_invoices</v>
      </c>
      <c r="B817" s="1" t="s">
        <v>102</v>
      </c>
      <c r="C817" s="1" t="s">
        <v>105</v>
      </c>
      <c r="D817" s="1" t="s">
        <v>1</v>
      </c>
      <c r="E817" s="1" t="s">
        <v>107</v>
      </c>
      <c r="F817">
        <v>1</v>
      </c>
      <c r="G817" s="1"/>
      <c r="H817" s="1" t="s">
        <v>166</v>
      </c>
      <c r="I817" s="1" t="s">
        <v>28</v>
      </c>
      <c r="J817" s="1" t="s">
        <v>31</v>
      </c>
      <c r="K817">
        <v>54</v>
      </c>
    </row>
    <row r="818" spans="1:11" x14ac:dyDescent="0.25">
      <c r="A818" s="18" t="str">
        <f xml:space="preserve">  MapNameLkup</f>
        <v>m_ofs_trex_ar_invoices</v>
      </c>
      <c r="B818" s="1" t="s">
        <v>102</v>
      </c>
      <c r="C818" s="1" t="s">
        <v>105</v>
      </c>
      <c r="D818" s="1" t="s">
        <v>1</v>
      </c>
      <c r="E818" s="1" t="s">
        <v>107</v>
      </c>
      <c r="F818">
        <v>1</v>
      </c>
      <c r="G818" s="1"/>
      <c r="H818" s="1" t="s">
        <v>167</v>
      </c>
      <c r="I818" s="1" t="s">
        <v>28</v>
      </c>
      <c r="J818" s="1" t="s">
        <v>31</v>
      </c>
      <c r="K818">
        <v>55</v>
      </c>
    </row>
    <row r="819" spans="1:11" x14ac:dyDescent="0.25">
      <c r="A819" s="18" t="str">
        <f xml:space="preserve">  MapNameLkup</f>
        <v>m_ofs_trex_ar_invoices</v>
      </c>
      <c r="B819" s="1" t="s">
        <v>102</v>
      </c>
      <c r="C819" s="1" t="s">
        <v>105</v>
      </c>
      <c r="D819" s="1" t="s">
        <v>1</v>
      </c>
      <c r="E819" s="1" t="s">
        <v>107</v>
      </c>
      <c r="F819">
        <v>1</v>
      </c>
      <c r="G819" s="1"/>
      <c r="H819" s="1" t="s">
        <v>168</v>
      </c>
      <c r="I819" s="1" t="s">
        <v>28</v>
      </c>
      <c r="J819" s="1" t="s">
        <v>31</v>
      </c>
      <c r="K819">
        <v>56</v>
      </c>
    </row>
    <row r="820" spans="1:11" x14ac:dyDescent="0.25">
      <c r="A820" s="18" t="str">
        <f xml:space="preserve">  MapNameLkup</f>
        <v>m_ofs_trex_ar_invoices</v>
      </c>
      <c r="B820" s="1" t="s">
        <v>102</v>
      </c>
      <c r="C820" s="1" t="s">
        <v>105</v>
      </c>
      <c r="D820" s="1" t="s">
        <v>1</v>
      </c>
      <c r="E820" s="1" t="s">
        <v>107</v>
      </c>
      <c r="F820">
        <v>1</v>
      </c>
      <c r="G820" s="1"/>
      <c r="H820" s="1" t="s">
        <v>169</v>
      </c>
      <c r="I820" s="1" t="s">
        <v>28</v>
      </c>
      <c r="J820" s="1" t="s">
        <v>31</v>
      </c>
      <c r="K820">
        <v>57</v>
      </c>
    </row>
    <row r="821" spans="1:11" x14ac:dyDescent="0.25">
      <c r="A821" s="18" t="str">
        <f xml:space="preserve">  MapNameLkup</f>
        <v>m_ofs_trex_ar_invoices</v>
      </c>
      <c r="B821" s="1" t="s">
        <v>102</v>
      </c>
      <c r="C821" s="1" t="s">
        <v>105</v>
      </c>
      <c r="D821" s="1" t="s">
        <v>1</v>
      </c>
      <c r="E821" s="1" t="s">
        <v>107</v>
      </c>
      <c r="F821">
        <v>1</v>
      </c>
      <c r="G821" s="1"/>
      <c r="H821" s="1" t="s">
        <v>170</v>
      </c>
      <c r="I821" s="1" t="s">
        <v>28</v>
      </c>
      <c r="J821" s="1" t="s">
        <v>31</v>
      </c>
      <c r="K821">
        <v>58</v>
      </c>
    </row>
    <row r="822" spans="1:11" x14ac:dyDescent="0.25">
      <c r="A822" s="18" t="str">
        <f xml:space="preserve">  MapNameLkup</f>
        <v>m_ofs_trex_ar_invoices</v>
      </c>
      <c r="B822" s="1" t="s">
        <v>102</v>
      </c>
      <c r="C822" s="1" t="s">
        <v>105</v>
      </c>
      <c r="D822" s="1" t="s">
        <v>1</v>
      </c>
      <c r="E822" s="1" t="s">
        <v>107</v>
      </c>
      <c r="F822">
        <v>1</v>
      </c>
      <c r="G822" s="1"/>
      <c r="H822" s="1" t="s">
        <v>171</v>
      </c>
      <c r="I822" s="1" t="s">
        <v>28</v>
      </c>
      <c r="J822" s="1" t="s">
        <v>31</v>
      </c>
      <c r="K822">
        <v>59</v>
      </c>
    </row>
    <row r="823" spans="1:11" x14ac:dyDescent="0.25">
      <c r="A823" s="18" t="str">
        <f xml:space="preserve">  MapNameLkup</f>
        <v>m_ofs_trex_ar_invoices</v>
      </c>
      <c r="B823" s="1" t="s">
        <v>102</v>
      </c>
      <c r="C823" s="1" t="s">
        <v>105</v>
      </c>
      <c r="D823" s="1" t="s">
        <v>1</v>
      </c>
      <c r="E823" s="1" t="s">
        <v>107</v>
      </c>
      <c r="F823">
        <v>1</v>
      </c>
      <c r="G823" s="1"/>
      <c r="H823" s="1" t="s">
        <v>172</v>
      </c>
      <c r="I823" s="1" t="s">
        <v>28</v>
      </c>
      <c r="J823" s="1" t="s">
        <v>31</v>
      </c>
      <c r="K823">
        <v>60</v>
      </c>
    </row>
    <row r="824" spans="1:11" x14ac:dyDescent="0.25">
      <c r="A824" s="18" t="str">
        <f xml:space="preserve">  MapNameLkup</f>
        <v>m_ofs_trex_ar_invoices</v>
      </c>
      <c r="B824" s="1" t="s">
        <v>102</v>
      </c>
      <c r="C824" s="1" t="s">
        <v>105</v>
      </c>
      <c r="D824" s="1" t="s">
        <v>1</v>
      </c>
      <c r="E824" s="1" t="s">
        <v>107</v>
      </c>
      <c r="F824">
        <v>1</v>
      </c>
      <c r="G824" s="1"/>
      <c r="H824" s="1" t="s">
        <v>173</v>
      </c>
      <c r="I824" s="1" t="s">
        <v>28</v>
      </c>
      <c r="J824" s="1" t="s">
        <v>31</v>
      </c>
      <c r="K824">
        <v>61</v>
      </c>
    </row>
    <row r="825" spans="1:11" x14ac:dyDescent="0.25">
      <c r="A825" s="18" t="str">
        <f xml:space="preserve">  MapNameLkup</f>
        <v>m_ofs_trex_ar_invoices</v>
      </c>
      <c r="B825" s="1" t="s">
        <v>102</v>
      </c>
      <c r="C825" s="1" t="s">
        <v>105</v>
      </c>
      <c r="D825" s="1" t="s">
        <v>1</v>
      </c>
      <c r="E825" s="1" t="s">
        <v>107</v>
      </c>
      <c r="F825">
        <v>1</v>
      </c>
      <c r="G825" s="1"/>
      <c r="H825" s="1" t="s">
        <v>653</v>
      </c>
      <c r="I825" s="1" t="s">
        <v>28</v>
      </c>
      <c r="J825" s="1" t="s">
        <v>31</v>
      </c>
      <c r="K825">
        <v>62</v>
      </c>
    </row>
    <row r="826" spans="1:11" x14ac:dyDescent="0.25">
      <c r="A826" s="18" t="str">
        <f xml:space="preserve">  MapNameLkup</f>
        <v>m_ofs_trex_ar_invoices</v>
      </c>
      <c r="B826" s="1" t="s">
        <v>102</v>
      </c>
      <c r="C826" s="1" t="s">
        <v>105</v>
      </c>
      <c r="D826" s="1" t="s">
        <v>1</v>
      </c>
      <c r="E826" s="1" t="s">
        <v>107</v>
      </c>
      <c r="F826">
        <v>1</v>
      </c>
      <c r="G826" s="1"/>
      <c r="H826" s="1" t="s">
        <v>654</v>
      </c>
      <c r="I826" s="1" t="s">
        <v>28</v>
      </c>
      <c r="J826" s="1" t="s">
        <v>31</v>
      </c>
      <c r="K826">
        <v>63</v>
      </c>
    </row>
    <row r="827" spans="1:11" x14ac:dyDescent="0.25">
      <c r="A827" s="18" t="str">
        <f xml:space="preserve">  MapNameLkup</f>
        <v>m_ofs_trex_ar_invoices</v>
      </c>
      <c r="B827" s="1" t="s">
        <v>102</v>
      </c>
      <c r="C827" s="1" t="s">
        <v>105</v>
      </c>
      <c r="D827" s="1" t="s">
        <v>1</v>
      </c>
      <c r="E827" s="1" t="s">
        <v>107</v>
      </c>
      <c r="F827">
        <v>1</v>
      </c>
      <c r="G827" s="1"/>
      <c r="H827" s="1" t="s">
        <v>382</v>
      </c>
      <c r="I827" s="1" t="s">
        <v>28</v>
      </c>
      <c r="J827" s="1" t="s">
        <v>31</v>
      </c>
      <c r="K827">
        <v>64</v>
      </c>
    </row>
    <row r="828" spans="1:11" x14ac:dyDescent="0.25">
      <c r="A828" s="18" t="str">
        <f xml:space="preserve">  MapNameLkup</f>
        <v>m_ofs_trex_ar_invoices</v>
      </c>
      <c r="B828" s="1" t="s">
        <v>102</v>
      </c>
      <c r="C828" s="1" t="s">
        <v>105</v>
      </c>
      <c r="D828" s="1" t="s">
        <v>1</v>
      </c>
      <c r="E828" s="1" t="s">
        <v>107</v>
      </c>
      <c r="F828">
        <v>1</v>
      </c>
      <c r="G828" s="1"/>
      <c r="H828" s="1" t="s">
        <v>378</v>
      </c>
      <c r="I828" s="1" t="s">
        <v>28</v>
      </c>
      <c r="J828" s="1" t="s">
        <v>31</v>
      </c>
      <c r="K828">
        <v>65</v>
      </c>
    </row>
    <row r="829" spans="1:11" x14ac:dyDescent="0.25">
      <c r="A829" s="18" t="str">
        <f xml:space="preserve">  MapNameLkup</f>
        <v>m_ofs_trex_ar_invoices</v>
      </c>
      <c r="B829" s="1" t="s">
        <v>102</v>
      </c>
      <c r="C829" s="1" t="s">
        <v>105</v>
      </c>
      <c r="D829" s="1" t="s">
        <v>1</v>
      </c>
      <c r="E829" s="1" t="s">
        <v>107</v>
      </c>
      <c r="F829">
        <v>1</v>
      </c>
      <c r="G829" s="1"/>
      <c r="H829" s="1" t="s">
        <v>379</v>
      </c>
      <c r="I829" s="1" t="s">
        <v>28</v>
      </c>
      <c r="J829" s="1" t="s">
        <v>31</v>
      </c>
      <c r="K829">
        <v>66</v>
      </c>
    </row>
    <row r="830" spans="1:11" x14ac:dyDescent="0.25">
      <c r="A830" s="18" t="str">
        <f xml:space="preserve">  MapNameLkup</f>
        <v>m_ofs_trex_ar_invoices</v>
      </c>
      <c r="B830" s="1" t="s">
        <v>102</v>
      </c>
      <c r="C830" s="1" t="s">
        <v>105</v>
      </c>
      <c r="D830" s="1" t="s">
        <v>1</v>
      </c>
      <c r="E830" s="1" t="s">
        <v>107</v>
      </c>
      <c r="F830">
        <v>1</v>
      </c>
      <c r="G830" s="1"/>
      <c r="H830" s="1" t="s">
        <v>380</v>
      </c>
      <c r="I830" s="1" t="s">
        <v>28</v>
      </c>
      <c r="J830" s="1" t="s">
        <v>31</v>
      </c>
      <c r="K830">
        <v>67</v>
      </c>
    </row>
    <row r="831" spans="1:11" x14ac:dyDescent="0.25">
      <c r="A831" s="18" t="str">
        <f xml:space="preserve">  MapNameLkup</f>
        <v>m_ofs_trex_ar_invoices</v>
      </c>
      <c r="B831" s="1" t="s">
        <v>102</v>
      </c>
      <c r="C831" s="1" t="s">
        <v>105</v>
      </c>
      <c r="D831" s="1" t="s">
        <v>1</v>
      </c>
      <c r="E831" s="1" t="s">
        <v>107</v>
      </c>
      <c r="F831">
        <v>1</v>
      </c>
      <c r="G831" s="1"/>
      <c r="H831" s="1" t="s">
        <v>655</v>
      </c>
      <c r="I831" s="1" t="s">
        <v>28</v>
      </c>
      <c r="J831" s="1" t="s">
        <v>31</v>
      </c>
      <c r="K831">
        <v>68</v>
      </c>
    </row>
    <row r="832" spans="1:11" x14ac:dyDescent="0.25">
      <c r="A832" s="18" t="str">
        <f xml:space="preserve">  MapNameLkup</f>
        <v>m_ofs_trex_ar_invoices</v>
      </c>
      <c r="B832" s="1" t="s">
        <v>102</v>
      </c>
      <c r="C832" s="1" t="s">
        <v>105</v>
      </c>
      <c r="D832" s="1" t="s">
        <v>1</v>
      </c>
      <c r="E832" s="1" t="s">
        <v>107</v>
      </c>
      <c r="F832">
        <v>1</v>
      </c>
      <c r="G832" s="1"/>
      <c r="H832" s="1" t="s">
        <v>656</v>
      </c>
      <c r="I832" s="1" t="s">
        <v>28</v>
      </c>
      <c r="J832" s="1" t="s">
        <v>32</v>
      </c>
      <c r="K832">
        <v>69</v>
      </c>
    </row>
    <row r="833" spans="1:11" x14ac:dyDescent="0.25">
      <c r="A833" s="18" t="str">
        <f xml:space="preserve">  MapNameLkup</f>
        <v>m_ofs_trex_ar_invoices</v>
      </c>
      <c r="B833" s="1" t="s">
        <v>102</v>
      </c>
      <c r="C833" s="1" t="s">
        <v>105</v>
      </c>
      <c r="D833" s="1" t="s">
        <v>1</v>
      </c>
      <c r="E833" s="1" t="s">
        <v>107</v>
      </c>
      <c r="F833">
        <v>1</v>
      </c>
      <c r="G833" s="1"/>
      <c r="H833" s="1" t="s">
        <v>425</v>
      </c>
      <c r="I833" s="1" t="s">
        <v>28</v>
      </c>
      <c r="J833" s="1" t="s">
        <v>31</v>
      </c>
      <c r="K833">
        <v>70</v>
      </c>
    </row>
    <row r="834" spans="1:11" x14ac:dyDescent="0.25">
      <c r="A834" s="18" t="str">
        <f xml:space="preserve">  MapNameLkup</f>
        <v>m_ofs_trex_ar_invoices</v>
      </c>
      <c r="B834" s="1" t="s">
        <v>102</v>
      </c>
      <c r="C834" s="1" t="s">
        <v>105</v>
      </c>
      <c r="D834" s="1" t="s">
        <v>1</v>
      </c>
      <c r="E834" s="1" t="s">
        <v>107</v>
      </c>
      <c r="F834">
        <v>1</v>
      </c>
      <c r="G834" s="1"/>
      <c r="H834" s="1" t="s">
        <v>657</v>
      </c>
      <c r="I834" s="1" t="s">
        <v>28</v>
      </c>
      <c r="J834" s="1" t="s">
        <v>31</v>
      </c>
      <c r="K834">
        <v>71</v>
      </c>
    </row>
    <row r="835" spans="1:11" x14ac:dyDescent="0.25">
      <c r="A835" s="18" t="str">
        <f xml:space="preserve">  MapNameLkup</f>
        <v>m_ofs_trex_ar_invoices</v>
      </c>
      <c r="B835" s="1" t="s">
        <v>102</v>
      </c>
      <c r="C835" s="1" t="s">
        <v>105</v>
      </c>
      <c r="D835" s="1" t="s">
        <v>1</v>
      </c>
      <c r="E835" s="1" t="s">
        <v>107</v>
      </c>
      <c r="F835">
        <v>1</v>
      </c>
      <c r="G835" s="1"/>
      <c r="H835" s="1" t="s">
        <v>658</v>
      </c>
      <c r="I835" s="1" t="s">
        <v>28</v>
      </c>
      <c r="J835" s="1" t="s">
        <v>31</v>
      </c>
      <c r="K835">
        <v>72</v>
      </c>
    </row>
    <row r="836" spans="1:11" x14ac:dyDescent="0.25">
      <c r="A836" s="18" t="str">
        <f xml:space="preserve">  MapNameLkup</f>
        <v>m_ofs_trex_ar_invoices</v>
      </c>
      <c r="B836" s="1" t="s">
        <v>102</v>
      </c>
      <c r="C836" s="1" t="s">
        <v>105</v>
      </c>
      <c r="D836" s="1" t="s">
        <v>1</v>
      </c>
      <c r="E836" s="1" t="s">
        <v>107</v>
      </c>
      <c r="F836">
        <v>1</v>
      </c>
      <c r="G836" s="1"/>
      <c r="H836" s="1" t="s">
        <v>659</v>
      </c>
      <c r="I836" s="1" t="s">
        <v>28</v>
      </c>
      <c r="J836" s="1" t="s">
        <v>31</v>
      </c>
      <c r="K836">
        <v>73</v>
      </c>
    </row>
    <row r="837" spans="1:11" x14ac:dyDescent="0.25">
      <c r="A837" s="18" t="str">
        <f xml:space="preserve">  MapNameLkup</f>
        <v>m_ofs_trex_ar_invoices</v>
      </c>
      <c r="B837" s="1" t="s">
        <v>102</v>
      </c>
      <c r="C837" s="1" t="s">
        <v>105</v>
      </c>
      <c r="D837" s="1" t="s">
        <v>1</v>
      </c>
      <c r="E837" s="1" t="s">
        <v>107</v>
      </c>
      <c r="F837">
        <v>1</v>
      </c>
      <c r="G837" s="1"/>
      <c r="H837" s="1" t="s">
        <v>660</v>
      </c>
      <c r="I837" s="1" t="s">
        <v>28</v>
      </c>
      <c r="J837" s="1" t="s">
        <v>31</v>
      </c>
      <c r="K837">
        <v>74</v>
      </c>
    </row>
    <row r="838" spans="1:11" x14ac:dyDescent="0.25">
      <c r="A838" s="18" t="str">
        <f xml:space="preserve">  MapNameLkup</f>
        <v>m_ofs_trex_ar_invoices</v>
      </c>
      <c r="B838" s="1" t="s">
        <v>102</v>
      </c>
      <c r="C838" s="1" t="s">
        <v>105</v>
      </c>
      <c r="D838" s="1" t="s">
        <v>1</v>
      </c>
      <c r="E838" s="1" t="s">
        <v>107</v>
      </c>
      <c r="F838">
        <v>1</v>
      </c>
      <c r="G838" s="1"/>
      <c r="H838" s="1" t="s">
        <v>661</v>
      </c>
      <c r="I838" s="1" t="s">
        <v>28</v>
      </c>
      <c r="J838" s="1" t="s">
        <v>31</v>
      </c>
      <c r="K838">
        <v>75</v>
      </c>
    </row>
    <row r="839" spans="1:11" x14ac:dyDescent="0.25">
      <c r="A839" s="18" t="str">
        <f xml:space="preserve">  MapNameLkup</f>
        <v>m_ofs_trex_ar_invoices</v>
      </c>
      <c r="B839" s="1" t="s">
        <v>102</v>
      </c>
      <c r="C839" s="1" t="s">
        <v>105</v>
      </c>
      <c r="D839" s="1" t="s">
        <v>1</v>
      </c>
      <c r="E839" s="1" t="s">
        <v>107</v>
      </c>
      <c r="F839">
        <v>1</v>
      </c>
      <c r="G839" s="1"/>
      <c r="H839" s="1" t="s">
        <v>245</v>
      </c>
      <c r="I839" s="1" t="s">
        <v>28</v>
      </c>
      <c r="J839" s="1" t="s">
        <v>31</v>
      </c>
      <c r="K839">
        <v>76</v>
      </c>
    </row>
    <row r="840" spans="1:11" x14ac:dyDescent="0.25">
      <c r="A840" s="18" t="str">
        <f xml:space="preserve">  MapNameLkup</f>
        <v>m_ofs_trex_ar_invoices</v>
      </c>
      <c r="B840" s="1" t="s">
        <v>102</v>
      </c>
      <c r="C840" s="1" t="s">
        <v>105</v>
      </c>
      <c r="D840" s="1" t="s">
        <v>1</v>
      </c>
      <c r="E840" s="1" t="s">
        <v>107</v>
      </c>
      <c r="F840">
        <v>1</v>
      </c>
      <c r="G840" s="1"/>
      <c r="H840" s="1" t="s">
        <v>207</v>
      </c>
      <c r="I840" s="1" t="s">
        <v>28</v>
      </c>
      <c r="J840" s="1" t="s">
        <v>31</v>
      </c>
      <c r="K840">
        <v>77</v>
      </c>
    </row>
    <row r="841" spans="1:11" x14ac:dyDescent="0.25">
      <c r="A841" s="18" t="str">
        <f xml:space="preserve">  MapNameLkup</f>
        <v>m_ofs_trex_ar_invoices</v>
      </c>
      <c r="B841" s="1" t="s">
        <v>102</v>
      </c>
      <c r="C841" s="1" t="s">
        <v>105</v>
      </c>
      <c r="D841" s="1" t="s">
        <v>1</v>
      </c>
      <c r="E841" s="1" t="s">
        <v>107</v>
      </c>
      <c r="F841">
        <v>1</v>
      </c>
      <c r="G841" s="1"/>
      <c r="H841" s="1" t="s">
        <v>208</v>
      </c>
      <c r="I841" s="1" t="s">
        <v>28</v>
      </c>
      <c r="J841" s="1" t="s">
        <v>31</v>
      </c>
      <c r="K841">
        <v>78</v>
      </c>
    </row>
    <row r="842" spans="1:11" x14ac:dyDescent="0.25">
      <c r="A842" s="18" t="str">
        <f xml:space="preserve">  MapNameLkup</f>
        <v>m_ofs_trex_ar_invoices</v>
      </c>
      <c r="B842" s="1" t="s">
        <v>102</v>
      </c>
      <c r="C842" s="1" t="s">
        <v>105</v>
      </c>
      <c r="D842" s="1" t="s">
        <v>1</v>
      </c>
      <c r="E842" s="1" t="s">
        <v>107</v>
      </c>
      <c r="F842">
        <v>1</v>
      </c>
      <c r="G842" s="1"/>
      <c r="H842" s="1" t="s">
        <v>209</v>
      </c>
      <c r="I842" s="1" t="s">
        <v>28</v>
      </c>
      <c r="J842" s="1" t="s">
        <v>31</v>
      </c>
      <c r="K842">
        <v>79</v>
      </c>
    </row>
    <row r="843" spans="1:11" x14ac:dyDescent="0.25">
      <c r="A843" s="18" t="str">
        <f xml:space="preserve">  MapNameLkup</f>
        <v>m_ofs_trex_ar_invoices</v>
      </c>
      <c r="B843" s="1" t="s">
        <v>102</v>
      </c>
      <c r="C843" s="1" t="s">
        <v>105</v>
      </c>
      <c r="D843" s="1" t="s">
        <v>1</v>
      </c>
      <c r="E843" s="1" t="s">
        <v>107</v>
      </c>
      <c r="F843">
        <v>1</v>
      </c>
      <c r="G843" s="1"/>
      <c r="H843" s="1" t="s">
        <v>210</v>
      </c>
      <c r="I843" s="1" t="s">
        <v>28</v>
      </c>
      <c r="J843" s="1" t="s">
        <v>31</v>
      </c>
      <c r="K843">
        <v>80</v>
      </c>
    </row>
    <row r="844" spans="1:11" x14ac:dyDescent="0.25">
      <c r="A844" s="18" t="str">
        <f xml:space="preserve">  MapNameLkup</f>
        <v>m_ofs_trex_ar_invoices</v>
      </c>
      <c r="B844" s="1" t="s">
        <v>102</v>
      </c>
      <c r="C844" s="1" t="s">
        <v>105</v>
      </c>
      <c r="D844" s="1" t="s">
        <v>1</v>
      </c>
      <c r="E844" s="1" t="s">
        <v>107</v>
      </c>
      <c r="F844">
        <v>1</v>
      </c>
      <c r="G844" s="1"/>
      <c r="H844" s="1" t="s">
        <v>211</v>
      </c>
      <c r="I844" s="1" t="s">
        <v>28</v>
      </c>
      <c r="J844" s="1" t="s">
        <v>31</v>
      </c>
      <c r="K844">
        <v>81</v>
      </c>
    </row>
    <row r="845" spans="1:11" x14ac:dyDescent="0.25">
      <c r="A845" s="18" t="str">
        <f xml:space="preserve">  MapNameLkup</f>
        <v>m_ofs_trex_ar_invoices</v>
      </c>
      <c r="B845" s="1" t="s">
        <v>102</v>
      </c>
      <c r="C845" s="1" t="s">
        <v>105</v>
      </c>
      <c r="D845" s="1" t="s">
        <v>1</v>
      </c>
      <c r="E845" s="1" t="s">
        <v>107</v>
      </c>
      <c r="F845">
        <v>1</v>
      </c>
      <c r="G845" s="1"/>
      <c r="H845" s="1" t="s">
        <v>662</v>
      </c>
      <c r="I845" s="1" t="s">
        <v>28</v>
      </c>
      <c r="J845" s="1" t="s">
        <v>31</v>
      </c>
      <c r="K845">
        <v>82</v>
      </c>
    </row>
    <row r="846" spans="1:11" x14ac:dyDescent="0.25">
      <c r="A846" s="18" t="str">
        <f xml:space="preserve">  MapNameLkup</f>
        <v>m_ofs_trex_ar_invoices</v>
      </c>
      <c r="B846" s="1" t="s">
        <v>102</v>
      </c>
      <c r="C846" s="1" t="s">
        <v>105</v>
      </c>
      <c r="D846" s="1" t="s">
        <v>1</v>
      </c>
      <c r="E846" s="1" t="s">
        <v>107</v>
      </c>
      <c r="F846">
        <v>1</v>
      </c>
      <c r="G846" s="1"/>
      <c r="H846" s="1" t="s">
        <v>663</v>
      </c>
      <c r="I846" s="1" t="s">
        <v>28</v>
      </c>
      <c r="J846" s="1" t="s">
        <v>31</v>
      </c>
      <c r="K846">
        <v>83</v>
      </c>
    </row>
    <row r="847" spans="1:11" x14ac:dyDescent="0.25">
      <c r="A847" s="18" t="str">
        <f xml:space="preserve">  MapNameLkup</f>
        <v>m_ofs_trex_ar_invoices</v>
      </c>
      <c r="B847" s="1" t="s">
        <v>102</v>
      </c>
      <c r="C847" s="1" t="s">
        <v>105</v>
      </c>
      <c r="D847" s="1" t="s">
        <v>1</v>
      </c>
      <c r="E847" s="1" t="s">
        <v>107</v>
      </c>
      <c r="F847">
        <v>1</v>
      </c>
      <c r="G847" s="1"/>
      <c r="H847" s="1" t="s">
        <v>664</v>
      </c>
      <c r="I847" s="1" t="s">
        <v>28</v>
      </c>
      <c r="J847" s="1" t="s">
        <v>31</v>
      </c>
      <c r="K847">
        <v>84</v>
      </c>
    </row>
    <row r="848" spans="1:11" x14ac:dyDescent="0.25">
      <c r="A848" s="18" t="str">
        <f xml:space="preserve">  MapNameLkup</f>
        <v>m_ofs_trex_ar_invoices</v>
      </c>
      <c r="B848" s="1" t="s">
        <v>102</v>
      </c>
      <c r="C848" s="1" t="s">
        <v>105</v>
      </c>
      <c r="D848" s="1" t="s">
        <v>1</v>
      </c>
      <c r="E848" s="1" t="s">
        <v>107</v>
      </c>
      <c r="F848">
        <v>1</v>
      </c>
      <c r="G848" s="1"/>
      <c r="H848" s="1" t="s">
        <v>665</v>
      </c>
      <c r="I848" s="1" t="s">
        <v>28</v>
      </c>
      <c r="J848" s="1" t="s">
        <v>31</v>
      </c>
      <c r="K848">
        <v>85</v>
      </c>
    </row>
    <row r="849" spans="1:11" x14ac:dyDescent="0.25">
      <c r="A849" s="18" t="str">
        <f xml:space="preserve">  MapNameLkup</f>
        <v>m_ofs_trex_ar_invoices</v>
      </c>
      <c r="B849" s="1" t="s">
        <v>102</v>
      </c>
      <c r="C849" s="1" t="s">
        <v>105</v>
      </c>
      <c r="D849" s="1" t="s">
        <v>1</v>
      </c>
      <c r="E849" s="1" t="s">
        <v>107</v>
      </c>
      <c r="F849">
        <v>1</v>
      </c>
      <c r="G849" s="1"/>
      <c r="H849" s="1" t="s">
        <v>666</v>
      </c>
      <c r="I849" s="1" t="s">
        <v>28</v>
      </c>
      <c r="J849" s="1" t="s">
        <v>31</v>
      </c>
      <c r="K849">
        <v>86</v>
      </c>
    </row>
    <row r="850" spans="1:11" x14ac:dyDescent="0.25">
      <c r="A850" s="18" t="str">
        <f xml:space="preserve">  MapNameLkup</f>
        <v>m_ofs_trex_ar_invoices</v>
      </c>
      <c r="B850" s="1" t="s">
        <v>102</v>
      </c>
      <c r="C850" s="1" t="s">
        <v>105</v>
      </c>
      <c r="D850" s="1" t="s">
        <v>1</v>
      </c>
      <c r="E850" s="1" t="s">
        <v>107</v>
      </c>
      <c r="F850">
        <v>1</v>
      </c>
      <c r="G850" s="1"/>
      <c r="H850" s="1" t="s">
        <v>667</v>
      </c>
      <c r="I850" s="1" t="s">
        <v>28</v>
      </c>
      <c r="J850" s="1" t="s">
        <v>31</v>
      </c>
      <c r="K850">
        <v>87</v>
      </c>
    </row>
    <row r="851" spans="1:11" x14ac:dyDescent="0.25">
      <c r="A851" s="18" t="str">
        <f xml:space="preserve">  MapNameLkup</f>
        <v>m_ofs_trex_ar_invoices</v>
      </c>
      <c r="B851" s="1" t="s">
        <v>102</v>
      </c>
      <c r="C851" s="1" t="s">
        <v>105</v>
      </c>
      <c r="D851" s="1" t="s">
        <v>1</v>
      </c>
      <c r="E851" s="1" t="s">
        <v>107</v>
      </c>
      <c r="F851">
        <v>1</v>
      </c>
      <c r="G851" s="1"/>
      <c r="H851" s="1" t="s">
        <v>668</v>
      </c>
      <c r="I851" s="1" t="s">
        <v>28</v>
      </c>
      <c r="J851" s="1" t="s">
        <v>31</v>
      </c>
      <c r="K851">
        <v>88</v>
      </c>
    </row>
    <row r="852" spans="1:11" x14ac:dyDescent="0.25">
      <c r="A852" s="18" t="str">
        <f xml:space="preserve">  MapNameLkup</f>
        <v>m_ofs_trex_ar_invoices</v>
      </c>
      <c r="B852" s="1" t="s">
        <v>102</v>
      </c>
      <c r="C852" s="1" t="s">
        <v>105</v>
      </c>
      <c r="D852" s="1" t="s">
        <v>1</v>
      </c>
      <c r="E852" s="1" t="s">
        <v>107</v>
      </c>
      <c r="F852">
        <v>1</v>
      </c>
      <c r="G852" s="1"/>
      <c r="H852" s="1" t="s">
        <v>669</v>
      </c>
      <c r="I852" s="1" t="s">
        <v>28</v>
      </c>
      <c r="J852" s="1" t="s">
        <v>31</v>
      </c>
      <c r="K852">
        <v>89</v>
      </c>
    </row>
    <row r="853" spans="1:11" x14ac:dyDescent="0.25">
      <c r="A853" s="18" t="str">
        <f xml:space="preserve">  MapNameLkup</f>
        <v>m_ofs_trex_ar_invoices</v>
      </c>
      <c r="B853" s="1" t="s">
        <v>102</v>
      </c>
      <c r="C853" s="1" t="s">
        <v>105</v>
      </c>
      <c r="D853" s="1" t="s">
        <v>1</v>
      </c>
      <c r="E853" s="1" t="s">
        <v>107</v>
      </c>
      <c r="F853">
        <v>1</v>
      </c>
      <c r="G853" s="1"/>
      <c r="H853" s="1" t="s">
        <v>670</v>
      </c>
      <c r="I853" s="1" t="s">
        <v>28</v>
      </c>
      <c r="J853" s="1" t="s">
        <v>31</v>
      </c>
      <c r="K853">
        <v>90</v>
      </c>
    </row>
    <row r="854" spans="1:11" x14ac:dyDescent="0.25">
      <c r="A854" s="18" t="str">
        <f xml:space="preserve">  MapNameLkup</f>
        <v>m_ofs_trex_ar_invoices</v>
      </c>
      <c r="B854" s="1" t="s">
        <v>102</v>
      </c>
      <c r="C854" s="1" t="s">
        <v>105</v>
      </c>
      <c r="D854" s="1" t="s">
        <v>1</v>
      </c>
      <c r="E854" s="1" t="s">
        <v>107</v>
      </c>
      <c r="F854">
        <v>1</v>
      </c>
      <c r="G854" s="1"/>
      <c r="H854" s="1" t="s">
        <v>671</v>
      </c>
      <c r="I854" s="1" t="s">
        <v>28</v>
      </c>
      <c r="J854" s="1" t="s">
        <v>31</v>
      </c>
      <c r="K854">
        <v>91</v>
      </c>
    </row>
    <row r="855" spans="1:11" x14ac:dyDescent="0.25">
      <c r="A855" s="18" t="str">
        <f xml:space="preserve">  MapNameLkup</f>
        <v>m_ofs_trex_ar_invoices</v>
      </c>
      <c r="B855" s="1" t="s">
        <v>102</v>
      </c>
      <c r="C855" s="1" t="s">
        <v>105</v>
      </c>
      <c r="D855" s="1" t="s">
        <v>1</v>
      </c>
      <c r="E855" s="1" t="s">
        <v>107</v>
      </c>
      <c r="F855">
        <v>1</v>
      </c>
      <c r="G855" s="1"/>
      <c r="H855" s="1" t="s">
        <v>672</v>
      </c>
      <c r="I855" s="1" t="s">
        <v>28</v>
      </c>
      <c r="J855" s="1" t="s">
        <v>31</v>
      </c>
      <c r="K855">
        <v>92</v>
      </c>
    </row>
    <row r="856" spans="1:11" x14ac:dyDescent="0.25">
      <c r="A856" s="18" t="str">
        <f xml:space="preserve">  MapNameLkup</f>
        <v>m_ofs_trex_ar_invoices</v>
      </c>
      <c r="B856" s="1" t="s">
        <v>102</v>
      </c>
      <c r="C856" s="1" t="s">
        <v>105</v>
      </c>
      <c r="D856" s="1" t="s">
        <v>1</v>
      </c>
      <c r="E856" s="1" t="s">
        <v>107</v>
      </c>
      <c r="F856">
        <v>1</v>
      </c>
      <c r="G856" s="1"/>
      <c r="H856" s="1" t="s">
        <v>673</v>
      </c>
      <c r="I856" s="1" t="s">
        <v>28</v>
      </c>
      <c r="J856" s="1" t="s">
        <v>31</v>
      </c>
      <c r="K856">
        <v>93</v>
      </c>
    </row>
    <row r="857" spans="1:11" x14ac:dyDescent="0.25">
      <c r="A857" s="18" t="str">
        <f xml:space="preserve">  MapNameLkup</f>
        <v>m_ofs_trex_ar_invoices</v>
      </c>
      <c r="B857" s="1" t="s">
        <v>102</v>
      </c>
      <c r="C857" s="1" t="s">
        <v>105</v>
      </c>
      <c r="D857" s="1" t="s">
        <v>1</v>
      </c>
      <c r="E857" s="1" t="s">
        <v>107</v>
      </c>
      <c r="F857">
        <v>1</v>
      </c>
      <c r="G857" s="1"/>
      <c r="H857" s="1" t="s">
        <v>674</v>
      </c>
      <c r="I857" s="1" t="s">
        <v>28</v>
      </c>
      <c r="J857" s="1" t="s">
        <v>31</v>
      </c>
      <c r="K857">
        <v>94</v>
      </c>
    </row>
    <row r="858" spans="1:11" x14ac:dyDescent="0.25">
      <c r="A858" s="18" t="str">
        <f xml:space="preserve">  MapNameLkup</f>
        <v>m_ofs_trex_ar_invoices</v>
      </c>
      <c r="B858" s="1" t="s">
        <v>102</v>
      </c>
      <c r="C858" s="1" t="s">
        <v>105</v>
      </c>
      <c r="D858" s="1" t="s">
        <v>1</v>
      </c>
      <c r="E858" s="1" t="s">
        <v>107</v>
      </c>
      <c r="F858">
        <v>1</v>
      </c>
      <c r="G858" s="1"/>
      <c r="H858" s="1" t="s">
        <v>675</v>
      </c>
      <c r="I858" s="1" t="s">
        <v>28</v>
      </c>
      <c r="J858" s="1" t="s">
        <v>31</v>
      </c>
      <c r="K858">
        <v>95</v>
      </c>
    </row>
    <row r="859" spans="1:11" x14ac:dyDescent="0.25">
      <c r="A859" s="18" t="str">
        <f xml:space="preserve">  MapNameLkup</f>
        <v>m_ofs_trex_ar_invoices</v>
      </c>
      <c r="B859" s="1" t="s">
        <v>102</v>
      </c>
      <c r="C859" s="1" t="s">
        <v>105</v>
      </c>
      <c r="D859" s="1" t="s">
        <v>1</v>
      </c>
      <c r="E859" s="1" t="s">
        <v>107</v>
      </c>
      <c r="F859">
        <v>1</v>
      </c>
      <c r="G859" s="1"/>
      <c r="H859" s="1" t="s">
        <v>676</v>
      </c>
      <c r="I859" s="1" t="s">
        <v>28</v>
      </c>
      <c r="J859" s="1" t="s">
        <v>31</v>
      </c>
      <c r="K859">
        <v>96</v>
      </c>
    </row>
    <row r="860" spans="1:11" x14ac:dyDescent="0.25">
      <c r="A860" s="18" t="str">
        <f xml:space="preserve">  MapNameLkup</f>
        <v>m_ofs_trex_ar_invoices</v>
      </c>
      <c r="B860" s="1" t="s">
        <v>102</v>
      </c>
      <c r="C860" s="1" t="s">
        <v>105</v>
      </c>
      <c r="D860" s="1" t="s">
        <v>1</v>
      </c>
      <c r="E860" s="1" t="s">
        <v>107</v>
      </c>
      <c r="F860">
        <v>1</v>
      </c>
      <c r="G860" s="1"/>
      <c r="H860" s="1" t="s">
        <v>677</v>
      </c>
      <c r="I860" s="1" t="s">
        <v>28</v>
      </c>
      <c r="J860" s="1" t="s">
        <v>31</v>
      </c>
      <c r="K860">
        <v>97</v>
      </c>
    </row>
    <row r="861" spans="1:11" x14ac:dyDescent="0.25">
      <c r="A861" s="18" t="str">
        <f xml:space="preserve">  MapNameLkup</f>
        <v>m_ofs_trex_ar_invoices</v>
      </c>
      <c r="B861" s="1" t="s">
        <v>102</v>
      </c>
      <c r="C861" s="1" t="s">
        <v>105</v>
      </c>
      <c r="D861" s="1" t="s">
        <v>1</v>
      </c>
      <c r="E861" s="1" t="s">
        <v>107</v>
      </c>
      <c r="F861">
        <v>1</v>
      </c>
      <c r="G861" s="1"/>
      <c r="H861" s="1" t="s">
        <v>678</v>
      </c>
      <c r="I861" s="1" t="s">
        <v>28</v>
      </c>
      <c r="J861" s="1" t="s">
        <v>31</v>
      </c>
      <c r="K861">
        <v>98</v>
      </c>
    </row>
    <row r="862" spans="1:11" x14ac:dyDescent="0.25">
      <c r="A862" s="18" t="str">
        <f xml:space="preserve">  MapNameLkup</f>
        <v>m_ofs_trex_ar_invoices</v>
      </c>
      <c r="B862" s="1" t="s">
        <v>102</v>
      </c>
      <c r="C862" s="1" t="s">
        <v>105</v>
      </c>
      <c r="D862" s="1" t="s">
        <v>1</v>
      </c>
      <c r="E862" s="1" t="s">
        <v>107</v>
      </c>
      <c r="F862">
        <v>1</v>
      </c>
      <c r="G862" s="1"/>
      <c r="H862" s="1" t="s">
        <v>679</v>
      </c>
      <c r="I862" s="1" t="s">
        <v>28</v>
      </c>
      <c r="J862" s="1" t="s">
        <v>31</v>
      </c>
      <c r="K862">
        <v>99</v>
      </c>
    </row>
    <row r="863" spans="1:11" x14ac:dyDescent="0.25">
      <c r="A863" s="18" t="str">
        <f xml:space="preserve">  MapNameLkup</f>
        <v>m_ofs_trex_ar_invoices</v>
      </c>
      <c r="B863" s="1" t="s">
        <v>102</v>
      </c>
      <c r="C863" s="1" t="s">
        <v>105</v>
      </c>
      <c r="D863" s="1" t="s">
        <v>1</v>
      </c>
      <c r="E863" s="1" t="s">
        <v>107</v>
      </c>
      <c r="F863">
        <v>1</v>
      </c>
      <c r="G863" s="1"/>
      <c r="H863" s="1" t="s">
        <v>680</v>
      </c>
      <c r="I863" s="1" t="s">
        <v>28</v>
      </c>
      <c r="J863" s="1" t="s">
        <v>31</v>
      </c>
      <c r="K863">
        <v>100</v>
      </c>
    </row>
    <row r="864" spans="1:11" x14ac:dyDescent="0.25">
      <c r="A864" s="18" t="str">
        <f xml:space="preserve">  MapNameLkup</f>
        <v>m_ofs_trex_ar_invoices</v>
      </c>
      <c r="B864" s="1" t="s">
        <v>102</v>
      </c>
      <c r="C864" s="1" t="s">
        <v>105</v>
      </c>
      <c r="D864" s="1" t="s">
        <v>1</v>
      </c>
      <c r="E864" s="1" t="s">
        <v>107</v>
      </c>
      <c r="F864">
        <v>1</v>
      </c>
      <c r="G864" s="1"/>
      <c r="H864" s="1" t="s">
        <v>681</v>
      </c>
      <c r="I864" s="1" t="s">
        <v>28</v>
      </c>
      <c r="J864" s="1" t="s">
        <v>31</v>
      </c>
      <c r="K864">
        <v>101</v>
      </c>
    </row>
    <row r="865" spans="1:11" x14ac:dyDescent="0.25">
      <c r="A865" s="18" t="str">
        <f xml:space="preserve">  MapNameLkup</f>
        <v>m_ofs_trex_ar_invoices</v>
      </c>
      <c r="B865" s="1" t="s">
        <v>102</v>
      </c>
      <c r="C865" s="1" t="s">
        <v>105</v>
      </c>
      <c r="D865" s="1" t="s">
        <v>1</v>
      </c>
      <c r="E865" s="1" t="s">
        <v>107</v>
      </c>
      <c r="F865">
        <v>1</v>
      </c>
      <c r="G865" s="1"/>
      <c r="H865" s="1" t="s">
        <v>682</v>
      </c>
      <c r="I865" s="1" t="s">
        <v>28</v>
      </c>
      <c r="J865" s="1" t="s">
        <v>31</v>
      </c>
      <c r="K865">
        <v>102</v>
      </c>
    </row>
    <row r="866" spans="1:11" x14ac:dyDescent="0.25">
      <c r="A866" s="18" t="str">
        <f xml:space="preserve">  MapNameLkup</f>
        <v>m_ofs_trex_ar_invoices</v>
      </c>
      <c r="B866" s="1" t="s">
        <v>102</v>
      </c>
      <c r="C866" s="1" t="s">
        <v>105</v>
      </c>
      <c r="D866" s="1" t="s">
        <v>1</v>
      </c>
      <c r="E866" s="1" t="s">
        <v>107</v>
      </c>
      <c r="F866">
        <v>1</v>
      </c>
      <c r="G866" s="1"/>
      <c r="H866" s="1" t="s">
        <v>683</v>
      </c>
      <c r="I866" s="1" t="s">
        <v>28</v>
      </c>
      <c r="J866" s="1" t="s">
        <v>31</v>
      </c>
      <c r="K866">
        <v>103</v>
      </c>
    </row>
    <row r="867" spans="1:11" x14ac:dyDescent="0.25">
      <c r="A867" s="18" t="str">
        <f xml:space="preserve">  MapNameLkup</f>
        <v>m_ofs_trex_ar_invoices</v>
      </c>
      <c r="B867" s="1" t="s">
        <v>102</v>
      </c>
      <c r="C867" s="1" t="s">
        <v>105</v>
      </c>
      <c r="D867" s="1" t="s">
        <v>1</v>
      </c>
      <c r="E867" s="1" t="s">
        <v>107</v>
      </c>
      <c r="F867">
        <v>1</v>
      </c>
      <c r="G867" s="1"/>
      <c r="H867" s="1" t="s">
        <v>684</v>
      </c>
      <c r="I867" s="1" t="s">
        <v>28</v>
      </c>
      <c r="J867" s="1" t="s">
        <v>31</v>
      </c>
      <c r="K867">
        <v>104</v>
      </c>
    </row>
    <row r="868" spans="1:11" x14ac:dyDescent="0.25">
      <c r="A868" s="18" t="str">
        <f xml:space="preserve">  MapNameLkup</f>
        <v>m_ofs_trex_ar_invoices</v>
      </c>
      <c r="B868" s="1" t="s">
        <v>102</v>
      </c>
      <c r="C868" s="1" t="s">
        <v>105</v>
      </c>
      <c r="D868" s="1" t="s">
        <v>1</v>
      </c>
      <c r="E868" s="1" t="s">
        <v>107</v>
      </c>
      <c r="F868">
        <v>1</v>
      </c>
      <c r="G868" s="1"/>
      <c r="H868" s="1" t="s">
        <v>685</v>
      </c>
      <c r="I868" s="1" t="s">
        <v>28</v>
      </c>
      <c r="J868" s="1" t="s">
        <v>31</v>
      </c>
      <c r="K868">
        <v>105</v>
      </c>
    </row>
    <row r="869" spans="1:11" x14ac:dyDescent="0.25">
      <c r="A869" s="18" t="str">
        <f xml:space="preserve">  MapNameLkup</f>
        <v>m_ofs_trex_ar_invoices</v>
      </c>
      <c r="B869" s="1" t="s">
        <v>102</v>
      </c>
      <c r="C869" s="1" t="s">
        <v>105</v>
      </c>
      <c r="D869" s="1" t="s">
        <v>1</v>
      </c>
      <c r="E869" s="1" t="s">
        <v>107</v>
      </c>
      <c r="F869">
        <v>1</v>
      </c>
      <c r="G869" s="1"/>
      <c r="H869" s="1" t="s">
        <v>686</v>
      </c>
      <c r="I869" s="1" t="s">
        <v>28</v>
      </c>
      <c r="J869" s="1" t="s">
        <v>31</v>
      </c>
      <c r="K869">
        <v>106</v>
      </c>
    </row>
    <row r="870" spans="1:11" x14ac:dyDescent="0.25">
      <c r="A870" s="18" t="str">
        <f xml:space="preserve">  MapNameLkup</f>
        <v>m_ofs_trex_ar_invoices</v>
      </c>
      <c r="B870" s="1" t="s">
        <v>102</v>
      </c>
      <c r="C870" s="1" t="s">
        <v>105</v>
      </c>
      <c r="D870" s="1" t="s">
        <v>1</v>
      </c>
      <c r="E870" s="1" t="s">
        <v>107</v>
      </c>
      <c r="F870">
        <v>1</v>
      </c>
      <c r="G870" s="1"/>
      <c r="H870" s="1" t="s">
        <v>687</v>
      </c>
      <c r="I870" s="1" t="s">
        <v>28</v>
      </c>
      <c r="J870" s="1" t="s">
        <v>31</v>
      </c>
      <c r="K870">
        <v>107</v>
      </c>
    </row>
    <row r="871" spans="1:11" x14ac:dyDescent="0.25">
      <c r="A871" s="18" t="str">
        <f xml:space="preserve">  MapNameLkup</f>
        <v>m_ofs_trex_ar_invoices</v>
      </c>
      <c r="B871" s="1" t="s">
        <v>102</v>
      </c>
      <c r="C871" s="1" t="s">
        <v>105</v>
      </c>
      <c r="D871" s="1" t="s">
        <v>1</v>
      </c>
      <c r="E871" s="1" t="s">
        <v>107</v>
      </c>
      <c r="F871">
        <v>1</v>
      </c>
      <c r="G871" s="1"/>
      <c r="H871" s="1" t="s">
        <v>688</v>
      </c>
      <c r="I871" s="1" t="s">
        <v>28</v>
      </c>
      <c r="J871" s="1" t="s">
        <v>31</v>
      </c>
      <c r="K871">
        <v>108</v>
      </c>
    </row>
    <row r="872" spans="1:11" x14ac:dyDescent="0.25">
      <c r="A872" s="18" t="str">
        <f xml:space="preserve">  MapNameLkup</f>
        <v>m_ofs_trex_ar_invoices</v>
      </c>
      <c r="B872" s="1" t="s">
        <v>102</v>
      </c>
      <c r="C872" s="1" t="s">
        <v>105</v>
      </c>
      <c r="D872" s="1" t="s">
        <v>1</v>
      </c>
      <c r="E872" s="1" t="s">
        <v>107</v>
      </c>
      <c r="F872">
        <v>1</v>
      </c>
      <c r="G872" s="1"/>
      <c r="H872" s="1" t="s">
        <v>689</v>
      </c>
      <c r="I872" s="1" t="s">
        <v>28</v>
      </c>
      <c r="J872" s="1" t="s">
        <v>31</v>
      </c>
      <c r="K872">
        <v>109</v>
      </c>
    </row>
    <row r="873" spans="1:11" x14ac:dyDescent="0.25">
      <c r="A873" s="18" t="str">
        <f xml:space="preserve">  MapNameLkup</f>
        <v>m_ofs_trex_ar_invoices</v>
      </c>
      <c r="B873" s="1" t="s">
        <v>102</v>
      </c>
      <c r="C873" s="1" t="s">
        <v>105</v>
      </c>
      <c r="D873" s="1" t="s">
        <v>1</v>
      </c>
      <c r="E873" s="1" t="s">
        <v>107</v>
      </c>
      <c r="F873">
        <v>1</v>
      </c>
      <c r="G873" s="1"/>
      <c r="H873" s="1" t="s">
        <v>690</v>
      </c>
      <c r="I873" s="1" t="s">
        <v>28</v>
      </c>
      <c r="J873" s="1" t="s">
        <v>31</v>
      </c>
      <c r="K873">
        <v>110</v>
      </c>
    </row>
    <row r="874" spans="1:11" x14ac:dyDescent="0.25">
      <c r="A874" s="18" t="str">
        <f xml:space="preserve">  MapNameLkup</f>
        <v>m_ofs_trex_ar_invoices</v>
      </c>
      <c r="B874" s="1" t="s">
        <v>102</v>
      </c>
      <c r="C874" s="1" t="s">
        <v>105</v>
      </c>
      <c r="D874" s="1" t="s">
        <v>1</v>
      </c>
      <c r="E874" s="1" t="s">
        <v>107</v>
      </c>
      <c r="F874">
        <v>1</v>
      </c>
      <c r="G874" s="1"/>
      <c r="H874" s="1" t="s">
        <v>691</v>
      </c>
      <c r="I874" s="1" t="s">
        <v>28</v>
      </c>
      <c r="J874" s="1" t="s">
        <v>31</v>
      </c>
      <c r="K874">
        <v>111</v>
      </c>
    </row>
    <row r="875" spans="1:11" x14ac:dyDescent="0.25">
      <c r="A875" s="18" t="str">
        <f xml:space="preserve">  MapNameLkup</f>
        <v>m_ofs_trex_ar_invoices</v>
      </c>
      <c r="B875" s="1" t="s">
        <v>102</v>
      </c>
      <c r="C875" s="1" t="s">
        <v>105</v>
      </c>
      <c r="D875" s="1" t="s">
        <v>1</v>
      </c>
      <c r="E875" s="1" t="s">
        <v>107</v>
      </c>
      <c r="F875">
        <v>1</v>
      </c>
      <c r="G875" s="1"/>
      <c r="H875" s="1" t="s">
        <v>692</v>
      </c>
      <c r="I875" s="1" t="s">
        <v>28</v>
      </c>
      <c r="J875" s="1" t="s">
        <v>31</v>
      </c>
      <c r="K875">
        <v>112</v>
      </c>
    </row>
    <row r="876" spans="1:11" x14ac:dyDescent="0.25">
      <c r="A876" s="18" t="str">
        <f xml:space="preserve">  MapNameLkup</f>
        <v>m_ofs_trex_ar_invoices</v>
      </c>
      <c r="B876" s="1" t="s">
        <v>102</v>
      </c>
      <c r="C876" s="1" t="s">
        <v>105</v>
      </c>
      <c r="D876" s="1" t="s">
        <v>1</v>
      </c>
      <c r="E876" s="1" t="s">
        <v>107</v>
      </c>
      <c r="F876">
        <v>1</v>
      </c>
      <c r="G876" s="1"/>
      <c r="H876" s="1" t="s">
        <v>693</v>
      </c>
      <c r="I876" s="1" t="s">
        <v>28</v>
      </c>
      <c r="J876" s="1" t="s">
        <v>31</v>
      </c>
      <c r="K876">
        <v>113</v>
      </c>
    </row>
    <row r="877" spans="1:11" x14ac:dyDescent="0.25">
      <c r="A877" s="18" t="str">
        <f xml:space="preserve">  MapNameLkup</f>
        <v>m_ofs_trex_ar_invoices</v>
      </c>
      <c r="B877" s="1" t="s">
        <v>102</v>
      </c>
      <c r="C877" s="1" t="s">
        <v>105</v>
      </c>
      <c r="D877" s="1" t="s">
        <v>1</v>
      </c>
      <c r="E877" s="1" t="s">
        <v>107</v>
      </c>
      <c r="F877">
        <v>1</v>
      </c>
      <c r="G877" s="1"/>
      <c r="H877" s="1" t="s">
        <v>694</v>
      </c>
      <c r="I877" s="1" t="s">
        <v>28</v>
      </c>
      <c r="J877" s="1" t="s">
        <v>31</v>
      </c>
      <c r="K877">
        <v>114</v>
      </c>
    </row>
    <row r="878" spans="1:11" x14ac:dyDescent="0.25">
      <c r="A878" s="18" t="str">
        <f xml:space="preserve">  MapNameLkup</f>
        <v>m_ofs_trex_ar_invoices</v>
      </c>
      <c r="B878" s="1" t="s">
        <v>102</v>
      </c>
      <c r="C878" s="1" t="s">
        <v>105</v>
      </c>
      <c r="D878" s="1" t="s">
        <v>1</v>
      </c>
      <c r="E878" s="1" t="s">
        <v>107</v>
      </c>
      <c r="F878">
        <v>1</v>
      </c>
      <c r="G878" s="1"/>
      <c r="H878" s="1" t="s">
        <v>695</v>
      </c>
      <c r="I878" s="1" t="s">
        <v>28</v>
      </c>
      <c r="J878" s="1" t="s">
        <v>32</v>
      </c>
      <c r="K878">
        <v>115</v>
      </c>
    </row>
    <row r="879" spans="1:11" x14ac:dyDescent="0.25">
      <c r="A879" s="18" t="str">
        <f xml:space="preserve">  MapNameLkup</f>
        <v>m_ofs_trex_ar_invoices</v>
      </c>
      <c r="B879" s="1" t="s">
        <v>102</v>
      </c>
      <c r="C879" s="1" t="s">
        <v>105</v>
      </c>
      <c r="D879" s="1" t="s">
        <v>1</v>
      </c>
      <c r="E879" s="1" t="s">
        <v>107</v>
      </c>
      <c r="F879">
        <v>1</v>
      </c>
      <c r="G879" s="1"/>
      <c r="H879" s="1" t="s">
        <v>159</v>
      </c>
      <c r="I879" s="1" t="s">
        <v>28</v>
      </c>
      <c r="J879" s="1" t="s">
        <v>31</v>
      </c>
      <c r="K879">
        <v>116</v>
      </c>
    </row>
    <row r="880" spans="1:11" x14ac:dyDescent="0.25">
      <c r="A880" s="18" t="str">
        <f xml:space="preserve">  MapNameLkup</f>
        <v>m_ofs_trex_ar_invoices</v>
      </c>
      <c r="B880" s="1" t="s">
        <v>102</v>
      </c>
      <c r="C880" s="1" t="s">
        <v>105</v>
      </c>
      <c r="D880" s="1" t="s">
        <v>1</v>
      </c>
      <c r="E880" s="1" t="s">
        <v>107</v>
      </c>
      <c r="F880">
        <v>1</v>
      </c>
      <c r="G880" s="1"/>
      <c r="H880" s="1" t="s">
        <v>696</v>
      </c>
      <c r="I880" s="1" t="s">
        <v>28</v>
      </c>
      <c r="J880" s="1" t="s">
        <v>31</v>
      </c>
      <c r="K880">
        <v>117</v>
      </c>
    </row>
    <row r="881" spans="1:11" x14ac:dyDescent="0.25">
      <c r="A881" s="18" t="str">
        <f xml:space="preserve">  MapNameLkup</f>
        <v>m_ofs_trex_ar_invoices</v>
      </c>
      <c r="B881" s="1" t="s">
        <v>102</v>
      </c>
      <c r="C881" s="1" t="s">
        <v>105</v>
      </c>
      <c r="D881" s="1" t="s">
        <v>1</v>
      </c>
      <c r="E881" s="1" t="s">
        <v>107</v>
      </c>
      <c r="F881">
        <v>1</v>
      </c>
      <c r="G881" s="1"/>
      <c r="H881" s="1" t="s">
        <v>219</v>
      </c>
      <c r="I881" s="1" t="s">
        <v>28</v>
      </c>
      <c r="J881" s="1" t="s">
        <v>31</v>
      </c>
      <c r="K881">
        <v>118</v>
      </c>
    </row>
    <row r="882" spans="1:11" x14ac:dyDescent="0.25">
      <c r="A882" s="18" t="str">
        <f xml:space="preserve">  MapNameLkup</f>
        <v>m_ofs_trex_ar_invoices</v>
      </c>
      <c r="B882" s="1" t="s">
        <v>102</v>
      </c>
      <c r="C882" s="1" t="s">
        <v>105</v>
      </c>
      <c r="D882" s="1" t="s">
        <v>1</v>
      </c>
      <c r="E882" s="1" t="s">
        <v>107</v>
      </c>
      <c r="F882">
        <v>1</v>
      </c>
      <c r="G882" s="1"/>
      <c r="H882" s="1" t="s">
        <v>220</v>
      </c>
      <c r="I882" s="1" t="s">
        <v>28</v>
      </c>
      <c r="J882" s="1" t="s">
        <v>31</v>
      </c>
      <c r="K882">
        <v>119</v>
      </c>
    </row>
    <row r="883" spans="1:11" x14ac:dyDescent="0.25">
      <c r="A883" s="18" t="str">
        <f xml:space="preserve">  MapNameLkup</f>
        <v>m_ofs_trex_ar_invoices</v>
      </c>
      <c r="B883" s="1" t="s">
        <v>102</v>
      </c>
      <c r="C883" s="1" t="s">
        <v>105</v>
      </c>
      <c r="D883" s="1" t="s">
        <v>1</v>
      </c>
      <c r="E883" s="1" t="s">
        <v>107</v>
      </c>
      <c r="F883">
        <v>1</v>
      </c>
      <c r="G883" s="1"/>
      <c r="H883" s="1" t="s">
        <v>221</v>
      </c>
      <c r="I883" s="1" t="s">
        <v>28</v>
      </c>
      <c r="J883" s="1" t="s">
        <v>31</v>
      </c>
      <c r="K883">
        <v>120</v>
      </c>
    </row>
    <row r="884" spans="1:11" x14ac:dyDescent="0.25">
      <c r="A884" s="18" t="str">
        <f xml:space="preserve">  MapNameLkup</f>
        <v>m_ofs_trex_ar_invoices</v>
      </c>
      <c r="B884" s="1" t="s">
        <v>102</v>
      </c>
      <c r="C884" s="1" t="s">
        <v>105</v>
      </c>
      <c r="D884" s="1" t="s">
        <v>1</v>
      </c>
      <c r="E884" s="1" t="s">
        <v>107</v>
      </c>
      <c r="F884">
        <v>1</v>
      </c>
      <c r="G884" s="1"/>
      <c r="H884" s="1" t="s">
        <v>222</v>
      </c>
      <c r="I884" s="1" t="s">
        <v>28</v>
      </c>
      <c r="J884" s="1" t="s">
        <v>31</v>
      </c>
      <c r="K884">
        <v>121</v>
      </c>
    </row>
    <row r="885" spans="1:11" x14ac:dyDescent="0.25">
      <c r="A885" s="18" t="str">
        <f xml:space="preserve">  MapNameLkup</f>
        <v>m_ofs_trex_ar_invoices</v>
      </c>
      <c r="B885" s="1" t="s">
        <v>102</v>
      </c>
      <c r="C885" s="1" t="s">
        <v>105</v>
      </c>
      <c r="D885" s="1" t="s">
        <v>1</v>
      </c>
      <c r="E885" s="1" t="s">
        <v>107</v>
      </c>
      <c r="F885">
        <v>1</v>
      </c>
      <c r="G885" s="1"/>
      <c r="H885" s="1" t="s">
        <v>223</v>
      </c>
      <c r="I885" s="1" t="s">
        <v>28</v>
      </c>
      <c r="J885" s="1" t="s">
        <v>31</v>
      </c>
      <c r="K885">
        <v>122</v>
      </c>
    </row>
    <row r="886" spans="1:11" x14ac:dyDescent="0.25">
      <c r="A886" s="18" t="str">
        <f xml:space="preserve">  MapNameLkup</f>
        <v>m_ofs_trex_ar_invoices</v>
      </c>
      <c r="B886" s="1" t="s">
        <v>102</v>
      </c>
      <c r="C886" s="1" t="s">
        <v>105</v>
      </c>
      <c r="D886" s="1" t="s">
        <v>1</v>
      </c>
      <c r="E886" s="1" t="s">
        <v>107</v>
      </c>
      <c r="F886">
        <v>1</v>
      </c>
      <c r="G886" s="1"/>
      <c r="H886" s="1" t="s">
        <v>224</v>
      </c>
      <c r="I886" s="1" t="s">
        <v>28</v>
      </c>
      <c r="J886" s="1" t="s">
        <v>31</v>
      </c>
      <c r="K886">
        <v>123</v>
      </c>
    </row>
    <row r="887" spans="1:11" x14ac:dyDescent="0.25">
      <c r="A887" s="18" t="str">
        <f xml:space="preserve">  MapNameLkup</f>
        <v>m_ofs_trex_ar_invoices</v>
      </c>
      <c r="B887" s="1" t="s">
        <v>102</v>
      </c>
      <c r="C887" s="1" t="s">
        <v>105</v>
      </c>
      <c r="D887" s="1" t="s">
        <v>1</v>
      </c>
      <c r="E887" s="1" t="s">
        <v>107</v>
      </c>
      <c r="F887">
        <v>1</v>
      </c>
      <c r="G887" s="1"/>
      <c r="H887" s="1" t="s">
        <v>225</v>
      </c>
      <c r="I887" s="1" t="s">
        <v>28</v>
      </c>
      <c r="J887" s="1" t="s">
        <v>31</v>
      </c>
      <c r="K887">
        <v>124</v>
      </c>
    </row>
    <row r="888" spans="1:11" x14ac:dyDescent="0.25">
      <c r="A888" s="18" t="str">
        <f xml:space="preserve">  MapNameLkup</f>
        <v>m_ofs_trex_ar_invoices</v>
      </c>
      <c r="B888" s="1" t="s">
        <v>102</v>
      </c>
      <c r="C888" s="1" t="s">
        <v>105</v>
      </c>
      <c r="D888" s="1" t="s">
        <v>1</v>
      </c>
      <c r="E888" s="1" t="s">
        <v>107</v>
      </c>
      <c r="F888">
        <v>1</v>
      </c>
      <c r="G888" s="1"/>
      <c r="H888" s="1" t="s">
        <v>226</v>
      </c>
      <c r="I888" s="1" t="s">
        <v>28</v>
      </c>
      <c r="J888" s="1" t="s">
        <v>31</v>
      </c>
      <c r="K888">
        <v>125</v>
      </c>
    </row>
    <row r="889" spans="1:11" x14ac:dyDescent="0.25">
      <c r="A889" s="18" t="str">
        <f xml:space="preserve">  MapNameLkup</f>
        <v>m_ofs_trex_ar_invoices</v>
      </c>
      <c r="B889" s="1" t="s">
        <v>102</v>
      </c>
      <c r="C889" s="1" t="s">
        <v>105</v>
      </c>
      <c r="D889" s="1" t="s">
        <v>1</v>
      </c>
      <c r="E889" s="1" t="s">
        <v>107</v>
      </c>
      <c r="F889">
        <v>1</v>
      </c>
      <c r="G889" s="1"/>
      <c r="H889" s="1" t="s">
        <v>227</v>
      </c>
      <c r="I889" s="1" t="s">
        <v>28</v>
      </c>
      <c r="J889" s="1" t="s">
        <v>31</v>
      </c>
      <c r="K889">
        <v>126</v>
      </c>
    </row>
    <row r="890" spans="1:11" x14ac:dyDescent="0.25">
      <c r="A890" s="18" t="str">
        <f xml:space="preserve">  MapNameLkup</f>
        <v>m_ofs_trex_ar_invoices</v>
      </c>
      <c r="B890" s="1" t="s">
        <v>102</v>
      </c>
      <c r="C890" s="1" t="s">
        <v>105</v>
      </c>
      <c r="D890" s="1" t="s">
        <v>1</v>
      </c>
      <c r="E890" s="1" t="s">
        <v>107</v>
      </c>
      <c r="F890">
        <v>1</v>
      </c>
      <c r="G890" s="1"/>
      <c r="H890" s="1" t="s">
        <v>228</v>
      </c>
      <c r="I890" s="1" t="s">
        <v>28</v>
      </c>
      <c r="J890" s="1" t="s">
        <v>31</v>
      </c>
      <c r="K890">
        <v>127</v>
      </c>
    </row>
    <row r="891" spans="1:11" x14ac:dyDescent="0.25">
      <c r="A891" s="18" t="str">
        <f xml:space="preserve">  MapNameLkup</f>
        <v>m_ofs_trex_ar_invoices</v>
      </c>
      <c r="B891" s="1" t="s">
        <v>102</v>
      </c>
      <c r="C891" s="1" t="s">
        <v>105</v>
      </c>
      <c r="D891" s="1" t="s">
        <v>1</v>
      </c>
      <c r="E891" s="1" t="s">
        <v>107</v>
      </c>
      <c r="F891">
        <v>1</v>
      </c>
      <c r="G891" s="1"/>
      <c r="H891" s="1" t="s">
        <v>229</v>
      </c>
      <c r="I891" s="1" t="s">
        <v>28</v>
      </c>
      <c r="J891" s="1" t="s">
        <v>31</v>
      </c>
      <c r="K891">
        <v>128</v>
      </c>
    </row>
    <row r="892" spans="1:11" x14ac:dyDescent="0.25">
      <c r="A892" s="18" t="str">
        <f xml:space="preserve">  MapNameLkup</f>
        <v>m_ofs_trex_ar_invoices</v>
      </c>
      <c r="B892" s="1" t="s">
        <v>102</v>
      </c>
      <c r="C892" s="1" t="s">
        <v>105</v>
      </c>
      <c r="D892" s="1" t="s">
        <v>1</v>
      </c>
      <c r="E892" s="1" t="s">
        <v>107</v>
      </c>
      <c r="F892">
        <v>1</v>
      </c>
      <c r="G892" s="1"/>
      <c r="H892" s="1" t="s">
        <v>230</v>
      </c>
      <c r="I892" s="1" t="s">
        <v>28</v>
      </c>
      <c r="J892" s="1" t="s">
        <v>31</v>
      </c>
      <c r="K892">
        <v>129</v>
      </c>
    </row>
    <row r="893" spans="1:11" x14ac:dyDescent="0.25">
      <c r="A893" s="18" t="str">
        <f xml:space="preserve">  MapNameLkup</f>
        <v>m_ofs_trex_ar_invoices</v>
      </c>
      <c r="B893" s="1" t="s">
        <v>102</v>
      </c>
      <c r="C893" s="1" t="s">
        <v>105</v>
      </c>
      <c r="D893" s="1" t="s">
        <v>1</v>
      </c>
      <c r="E893" s="1" t="s">
        <v>107</v>
      </c>
      <c r="F893">
        <v>1</v>
      </c>
      <c r="G893" s="1"/>
      <c r="H893" s="1" t="s">
        <v>231</v>
      </c>
      <c r="I893" s="1" t="s">
        <v>28</v>
      </c>
      <c r="J893" s="1" t="s">
        <v>31</v>
      </c>
      <c r="K893">
        <v>130</v>
      </c>
    </row>
    <row r="894" spans="1:11" x14ac:dyDescent="0.25">
      <c r="A894" s="18" t="str">
        <f xml:space="preserve">  MapNameLkup</f>
        <v>m_ofs_trex_ar_invoices</v>
      </c>
      <c r="B894" s="1" t="s">
        <v>102</v>
      </c>
      <c r="C894" s="1" t="s">
        <v>105</v>
      </c>
      <c r="D894" s="1" t="s">
        <v>1</v>
      </c>
      <c r="E894" s="1" t="s">
        <v>107</v>
      </c>
      <c r="F894">
        <v>1</v>
      </c>
      <c r="G894" s="1"/>
      <c r="H894" s="1" t="s">
        <v>232</v>
      </c>
      <c r="I894" s="1" t="s">
        <v>28</v>
      </c>
      <c r="J894" s="1" t="s">
        <v>31</v>
      </c>
      <c r="K894">
        <v>131</v>
      </c>
    </row>
    <row r="895" spans="1:11" x14ac:dyDescent="0.25">
      <c r="A895" s="18" t="str">
        <f xml:space="preserve">  MapNameLkup</f>
        <v>m_ofs_trex_ar_invoices</v>
      </c>
      <c r="B895" s="1" t="s">
        <v>102</v>
      </c>
      <c r="C895" s="1" t="s">
        <v>105</v>
      </c>
      <c r="D895" s="1" t="s">
        <v>1</v>
      </c>
      <c r="E895" s="1" t="s">
        <v>107</v>
      </c>
      <c r="F895">
        <v>1</v>
      </c>
      <c r="G895" s="1"/>
      <c r="H895" s="1" t="s">
        <v>233</v>
      </c>
      <c r="I895" s="1" t="s">
        <v>28</v>
      </c>
      <c r="J895" s="1" t="s">
        <v>31</v>
      </c>
      <c r="K895">
        <v>132</v>
      </c>
    </row>
    <row r="896" spans="1:11" x14ac:dyDescent="0.25">
      <c r="A896" s="18" t="str">
        <f xml:space="preserve">  MapNameLkup</f>
        <v>m_ofs_trex_ar_invoices</v>
      </c>
      <c r="B896" s="1" t="s">
        <v>102</v>
      </c>
      <c r="C896" s="1" t="s">
        <v>105</v>
      </c>
      <c r="D896" s="1" t="s">
        <v>1</v>
      </c>
      <c r="E896" s="1" t="s">
        <v>107</v>
      </c>
      <c r="F896">
        <v>1</v>
      </c>
      <c r="G896" s="1"/>
      <c r="H896" s="1" t="s">
        <v>234</v>
      </c>
      <c r="I896" s="1" t="s">
        <v>28</v>
      </c>
      <c r="J896" s="1" t="s">
        <v>31</v>
      </c>
      <c r="K896">
        <v>133</v>
      </c>
    </row>
    <row r="897" spans="1:11" x14ac:dyDescent="0.25">
      <c r="A897" s="18" t="str">
        <f xml:space="preserve">  MapNameLkup</f>
        <v>m_ofs_trex_ar_invoices</v>
      </c>
      <c r="B897" s="1" t="s">
        <v>102</v>
      </c>
      <c r="C897" s="1" t="s">
        <v>105</v>
      </c>
      <c r="D897" s="1" t="s">
        <v>1</v>
      </c>
      <c r="E897" s="1" t="s">
        <v>107</v>
      </c>
      <c r="F897">
        <v>1</v>
      </c>
      <c r="G897" s="1"/>
      <c r="H897" s="1" t="s">
        <v>235</v>
      </c>
      <c r="I897" s="1" t="s">
        <v>28</v>
      </c>
      <c r="J897" s="1" t="s">
        <v>31</v>
      </c>
      <c r="K897">
        <v>134</v>
      </c>
    </row>
    <row r="898" spans="1:11" x14ac:dyDescent="0.25">
      <c r="A898" s="18" t="str">
        <f xml:space="preserve">  MapNameLkup</f>
        <v>m_ofs_trex_ar_invoices</v>
      </c>
      <c r="B898" s="1" t="s">
        <v>102</v>
      </c>
      <c r="C898" s="1" t="s">
        <v>105</v>
      </c>
      <c r="D898" s="1" t="s">
        <v>1</v>
      </c>
      <c r="E898" s="1" t="s">
        <v>107</v>
      </c>
      <c r="F898">
        <v>1</v>
      </c>
      <c r="G898" s="1"/>
      <c r="H898" s="1" t="s">
        <v>236</v>
      </c>
      <c r="I898" s="1" t="s">
        <v>28</v>
      </c>
      <c r="J898" s="1" t="s">
        <v>31</v>
      </c>
      <c r="K898">
        <v>135</v>
      </c>
    </row>
    <row r="899" spans="1:11" x14ac:dyDescent="0.25">
      <c r="A899" s="18" t="str">
        <f xml:space="preserve">  MapNameLkup</f>
        <v>m_ofs_trex_ar_invoices</v>
      </c>
      <c r="B899" s="1" t="s">
        <v>102</v>
      </c>
      <c r="C899" s="1" t="s">
        <v>105</v>
      </c>
      <c r="D899" s="1" t="s">
        <v>1</v>
      </c>
      <c r="E899" s="1" t="s">
        <v>107</v>
      </c>
      <c r="F899">
        <v>1</v>
      </c>
      <c r="G899" s="1"/>
      <c r="H899" s="1" t="s">
        <v>237</v>
      </c>
      <c r="I899" s="1" t="s">
        <v>28</v>
      </c>
      <c r="J899" s="1" t="s">
        <v>31</v>
      </c>
      <c r="K899">
        <v>136</v>
      </c>
    </row>
    <row r="900" spans="1:11" x14ac:dyDescent="0.25">
      <c r="A900" s="18" t="str">
        <f xml:space="preserve">  MapNameLkup</f>
        <v>m_ofs_trex_ar_invoices</v>
      </c>
      <c r="B900" s="1" t="s">
        <v>102</v>
      </c>
      <c r="C900" s="1" t="s">
        <v>105</v>
      </c>
      <c r="D900" s="1" t="s">
        <v>1</v>
      </c>
      <c r="E900" s="1" t="s">
        <v>107</v>
      </c>
      <c r="F900">
        <v>1</v>
      </c>
      <c r="G900" s="1"/>
      <c r="H900" s="1" t="s">
        <v>238</v>
      </c>
      <c r="I900" s="1" t="s">
        <v>28</v>
      </c>
      <c r="J900" s="1" t="s">
        <v>31</v>
      </c>
      <c r="K900">
        <v>137</v>
      </c>
    </row>
    <row r="901" spans="1:11" x14ac:dyDescent="0.25">
      <c r="A901" s="18" t="str">
        <f xml:space="preserve">  MapNameLkup</f>
        <v>m_ofs_trex_ar_invoices</v>
      </c>
      <c r="B901" s="1" t="s">
        <v>102</v>
      </c>
      <c r="C901" s="1" t="s">
        <v>105</v>
      </c>
      <c r="D901" s="1" t="s">
        <v>1</v>
      </c>
      <c r="E901" s="1" t="s">
        <v>107</v>
      </c>
      <c r="F901">
        <v>1</v>
      </c>
      <c r="G901" s="1"/>
      <c r="H901" s="1" t="s">
        <v>239</v>
      </c>
      <c r="I901" s="1" t="s">
        <v>28</v>
      </c>
      <c r="J901" s="1" t="s">
        <v>31</v>
      </c>
      <c r="K901">
        <v>138</v>
      </c>
    </row>
    <row r="902" spans="1:11" x14ac:dyDescent="0.25">
      <c r="A902" s="18" t="str">
        <f xml:space="preserve">  MapNameLkup</f>
        <v>m_ofs_trex_ar_invoices</v>
      </c>
      <c r="B902" s="1" t="s">
        <v>102</v>
      </c>
      <c r="C902" s="1" t="s">
        <v>105</v>
      </c>
      <c r="D902" s="1" t="s">
        <v>1</v>
      </c>
      <c r="E902" s="1" t="s">
        <v>107</v>
      </c>
      <c r="F902">
        <v>1</v>
      </c>
      <c r="G902" s="1"/>
      <c r="H902" s="1" t="s">
        <v>697</v>
      </c>
      <c r="I902" s="1" t="s">
        <v>28</v>
      </c>
      <c r="J902" s="1" t="s">
        <v>31</v>
      </c>
      <c r="K902">
        <v>139</v>
      </c>
    </row>
    <row r="903" spans="1:11" x14ac:dyDescent="0.25">
      <c r="A903" s="18" t="str">
        <f xml:space="preserve">  MapNameLkup</f>
        <v>m_ofs_trex_ar_invoices</v>
      </c>
      <c r="B903" s="1" t="s">
        <v>102</v>
      </c>
      <c r="C903" s="1" t="s">
        <v>105</v>
      </c>
      <c r="D903" s="1" t="s">
        <v>1</v>
      </c>
      <c r="E903" s="1" t="s">
        <v>107</v>
      </c>
      <c r="F903">
        <v>1</v>
      </c>
      <c r="G903" s="1"/>
      <c r="H903" s="1" t="s">
        <v>698</v>
      </c>
      <c r="I903" s="1" t="s">
        <v>28</v>
      </c>
      <c r="J903" s="1" t="s">
        <v>31</v>
      </c>
      <c r="K903">
        <v>140</v>
      </c>
    </row>
    <row r="904" spans="1:11" x14ac:dyDescent="0.25">
      <c r="A904" s="18" t="str">
        <f xml:space="preserve">  MapNameLkup</f>
        <v>m_ofs_trex_ar_invoices</v>
      </c>
      <c r="B904" s="1" t="s">
        <v>102</v>
      </c>
      <c r="C904" s="1" t="s">
        <v>105</v>
      </c>
      <c r="D904" s="1" t="s">
        <v>1</v>
      </c>
      <c r="E904" s="1" t="s">
        <v>107</v>
      </c>
      <c r="F904">
        <v>1</v>
      </c>
      <c r="G904" s="1"/>
      <c r="H904" s="1" t="s">
        <v>699</v>
      </c>
      <c r="I904" s="1" t="s">
        <v>28</v>
      </c>
      <c r="J904" s="1" t="s">
        <v>31</v>
      </c>
      <c r="K904">
        <v>141</v>
      </c>
    </row>
    <row r="905" spans="1:11" x14ac:dyDescent="0.25">
      <c r="A905" s="18" t="str">
        <f xml:space="preserve">  MapNameLkup</f>
        <v>m_ofs_trex_ar_invoices</v>
      </c>
      <c r="B905" s="1" t="s">
        <v>102</v>
      </c>
      <c r="C905" s="1" t="s">
        <v>105</v>
      </c>
      <c r="D905" s="1" t="s">
        <v>1</v>
      </c>
      <c r="E905" s="1" t="s">
        <v>107</v>
      </c>
      <c r="F905">
        <v>1</v>
      </c>
      <c r="G905" s="1"/>
      <c r="H905" s="1" t="s">
        <v>700</v>
      </c>
      <c r="I905" s="1" t="s">
        <v>28</v>
      </c>
      <c r="J905" s="1" t="s">
        <v>31</v>
      </c>
      <c r="K905">
        <v>142</v>
      </c>
    </row>
    <row r="906" spans="1:11" x14ac:dyDescent="0.25">
      <c r="A906" s="18" t="str">
        <f xml:space="preserve">  MapNameLkup</f>
        <v>m_ofs_trex_ar_invoices</v>
      </c>
      <c r="B906" s="1" t="s">
        <v>102</v>
      </c>
      <c r="C906" s="1" t="s">
        <v>105</v>
      </c>
      <c r="D906" s="1" t="s">
        <v>1</v>
      </c>
      <c r="E906" s="1" t="s">
        <v>107</v>
      </c>
      <c r="F906">
        <v>1</v>
      </c>
      <c r="G906" s="1"/>
      <c r="H906" s="1" t="s">
        <v>701</v>
      </c>
      <c r="I906" s="1" t="s">
        <v>28</v>
      </c>
      <c r="J906" s="1" t="s">
        <v>31</v>
      </c>
      <c r="K906">
        <v>143</v>
      </c>
    </row>
    <row r="907" spans="1:11" x14ac:dyDescent="0.25">
      <c r="A907" s="18" t="str">
        <f xml:space="preserve">  MapNameLkup</f>
        <v>m_ofs_trex_ar_invoices</v>
      </c>
      <c r="B907" s="1" t="s">
        <v>102</v>
      </c>
      <c r="C907" s="1" t="s">
        <v>105</v>
      </c>
      <c r="D907" s="1" t="s">
        <v>1</v>
      </c>
      <c r="E907" s="1" t="s">
        <v>107</v>
      </c>
      <c r="F907">
        <v>1</v>
      </c>
      <c r="G907" s="1"/>
      <c r="H907" s="1" t="s">
        <v>702</v>
      </c>
      <c r="I907" s="1" t="s">
        <v>28</v>
      </c>
      <c r="J907" s="1" t="s">
        <v>31</v>
      </c>
      <c r="K907">
        <v>144</v>
      </c>
    </row>
    <row r="908" spans="1:11" x14ac:dyDescent="0.25">
      <c r="A908" s="18" t="str">
        <f xml:space="preserve">  MapNameLkup</f>
        <v>m_ofs_trex_ar_invoices</v>
      </c>
      <c r="B908" s="1" t="s">
        <v>102</v>
      </c>
      <c r="C908" s="1" t="s">
        <v>105</v>
      </c>
      <c r="D908" s="1" t="s">
        <v>1</v>
      </c>
      <c r="E908" s="1" t="s">
        <v>107</v>
      </c>
      <c r="F908">
        <v>1</v>
      </c>
      <c r="G908" s="1"/>
      <c r="H908" s="1" t="s">
        <v>703</v>
      </c>
      <c r="I908" s="1" t="s">
        <v>28</v>
      </c>
      <c r="J908" s="1" t="s">
        <v>31</v>
      </c>
      <c r="K908">
        <v>145</v>
      </c>
    </row>
    <row r="909" spans="1:11" x14ac:dyDescent="0.25">
      <c r="A909" s="18" t="str">
        <f xml:space="preserve">  MapNameLkup</f>
        <v>m_ofs_trex_ar_invoices</v>
      </c>
      <c r="B909" s="1" t="s">
        <v>102</v>
      </c>
      <c r="C909" s="1" t="s">
        <v>105</v>
      </c>
      <c r="D909" s="1" t="s">
        <v>1</v>
      </c>
      <c r="E909" s="1" t="s">
        <v>107</v>
      </c>
      <c r="F909">
        <v>1</v>
      </c>
      <c r="G909" s="1"/>
      <c r="H909" s="1" t="s">
        <v>704</v>
      </c>
      <c r="I909" s="1" t="s">
        <v>28</v>
      </c>
      <c r="J909" s="1" t="s">
        <v>31</v>
      </c>
      <c r="K909">
        <v>146</v>
      </c>
    </row>
    <row r="910" spans="1:11" x14ac:dyDescent="0.25">
      <c r="A910" s="18" t="str">
        <f xml:space="preserve">  MapNameLkup</f>
        <v>m_ofs_trex_ar_invoices</v>
      </c>
      <c r="B910" s="1" t="s">
        <v>102</v>
      </c>
      <c r="C910" s="1" t="s">
        <v>105</v>
      </c>
      <c r="D910" s="1" t="s">
        <v>1</v>
      </c>
      <c r="E910" s="1" t="s">
        <v>107</v>
      </c>
      <c r="F910">
        <v>1</v>
      </c>
      <c r="G910" s="1"/>
      <c r="H910" s="1" t="s">
        <v>705</v>
      </c>
      <c r="I910" s="1" t="s">
        <v>28</v>
      </c>
      <c r="J910" s="1" t="s">
        <v>31</v>
      </c>
      <c r="K910">
        <v>147</v>
      </c>
    </row>
    <row r="911" spans="1:11" x14ac:dyDescent="0.25">
      <c r="A911" s="18" t="str">
        <f xml:space="preserve">  MapNameLkup</f>
        <v>m_ofs_trex_ar_invoices</v>
      </c>
      <c r="B911" s="1" t="s">
        <v>102</v>
      </c>
      <c r="C911" s="1" t="s">
        <v>105</v>
      </c>
      <c r="D911" s="1" t="s">
        <v>1</v>
      </c>
      <c r="E911" s="1" t="s">
        <v>107</v>
      </c>
      <c r="F911">
        <v>1</v>
      </c>
      <c r="G911" s="1"/>
      <c r="H911" s="1" t="s">
        <v>706</v>
      </c>
      <c r="I911" s="1" t="s">
        <v>28</v>
      </c>
      <c r="J911" s="1" t="s">
        <v>31</v>
      </c>
      <c r="K911">
        <v>148</v>
      </c>
    </row>
    <row r="912" spans="1:11" x14ac:dyDescent="0.25">
      <c r="A912" s="18" t="str">
        <f xml:space="preserve">  MapNameLkup</f>
        <v>m_ofs_trex_ar_invoices</v>
      </c>
      <c r="B912" s="1" t="s">
        <v>102</v>
      </c>
      <c r="C912" s="1" t="s">
        <v>105</v>
      </c>
      <c r="D912" s="1" t="s">
        <v>1</v>
      </c>
      <c r="E912" s="1" t="s">
        <v>107</v>
      </c>
      <c r="F912">
        <v>1</v>
      </c>
      <c r="G912" s="1"/>
      <c r="H912" s="1" t="s">
        <v>707</v>
      </c>
      <c r="I912" s="1" t="s">
        <v>28</v>
      </c>
      <c r="J912" s="1" t="s">
        <v>31</v>
      </c>
      <c r="K912">
        <v>149</v>
      </c>
    </row>
    <row r="913" spans="1:11" x14ac:dyDescent="0.25">
      <c r="A913" s="18" t="str">
        <f xml:space="preserve">  MapNameLkup</f>
        <v>m_ofs_trex_ar_invoices</v>
      </c>
      <c r="B913" s="1" t="s">
        <v>102</v>
      </c>
      <c r="C913" s="1" t="s">
        <v>105</v>
      </c>
      <c r="D913" s="1" t="s">
        <v>1</v>
      </c>
      <c r="E913" s="1" t="s">
        <v>107</v>
      </c>
      <c r="F913">
        <v>1</v>
      </c>
      <c r="G913" s="1"/>
      <c r="H913" s="1" t="s">
        <v>708</v>
      </c>
      <c r="I913" s="1" t="s">
        <v>28</v>
      </c>
      <c r="J913" s="1" t="s">
        <v>31</v>
      </c>
      <c r="K913">
        <v>150</v>
      </c>
    </row>
    <row r="914" spans="1:11" x14ac:dyDescent="0.25">
      <c r="A914" s="18" t="str">
        <f xml:space="preserve">  MapNameLkup</f>
        <v>m_ofs_trex_ar_invoices</v>
      </c>
      <c r="B914" s="1" t="s">
        <v>102</v>
      </c>
      <c r="C914" s="1" t="s">
        <v>105</v>
      </c>
      <c r="D914" s="1" t="s">
        <v>1</v>
      </c>
      <c r="E914" s="1" t="s">
        <v>107</v>
      </c>
      <c r="F914">
        <v>1</v>
      </c>
      <c r="G914" s="1"/>
      <c r="H914" s="1" t="s">
        <v>391</v>
      </c>
      <c r="I914" s="1" t="s">
        <v>28</v>
      </c>
      <c r="J914" s="1" t="s">
        <v>31</v>
      </c>
      <c r="K914">
        <v>151</v>
      </c>
    </row>
    <row r="915" spans="1:11" x14ac:dyDescent="0.25">
      <c r="A915" s="18" t="str">
        <f xml:space="preserve">  MapNameLkup</f>
        <v>m_ofs_trex_ar_invoices</v>
      </c>
      <c r="B915" s="1" t="s">
        <v>102</v>
      </c>
      <c r="C915" s="1" t="s">
        <v>105</v>
      </c>
      <c r="D915" s="1" t="s">
        <v>1</v>
      </c>
      <c r="E915" s="1" t="s">
        <v>107</v>
      </c>
      <c r="F915">
        <v>1</v>
      </c>
      <c r="G915" s="1"/>
      <c r="H915" s="1" t="s">
        <v>392</v>
      </c>
      <c r="I915" s="1" t="s">
        <v>28</v>
      </c>
      <c r="J915" s="1" t="s">
        <v>31</v>
      </c>
      <c r="K915">
        <v>152</v>
      </c>
    </row>
    <row r="916" spans="1:11" x14ac:dyDescent="0.25">
      <c r="A916" s="18" t="str">
        <f xml:space="preserve">  MapNameLkup</f>
        <v>m_ofs_trex_ar_invoices</v>
      </c>
      <c r="B916" s="1" t="s">
        <v>102</v>
      </c>
      <c r="C916" s="1" t="s">
        <v>105</v>
      </c>
      <c r="D916" s="1" t="s">
        <v>1</v>
      </c>
      <c r="E916" s="1" t="s">
        <v>107</v>
      </c>
      <c r="F916">
        <v>1</v>
      </c>
      <c r="G916" s="1"/>
      <c r="H916" s="1" t="s">
        <v>393</v>
      </c>
      <c r="I916" s="1" t="s">
        <v>28</v>
      </c>
      <c r="J916" s="1" t="s">
        <v>31</v>
      </c>
      <c r="K916">
        <v>153</v>
      </c>
    </row>
    <row r="917" spans="1:11" x14ac:dyDescent="0.25">
      <c r="A917" s="18" t="str">
        <f xml:space="preserve">  MapNameLkup</f>
        <v>m_ofs_trex_ar_invoices</v>
      </c>
      <c r="B917" s="1" t="s">
        <v>102</v>
      </c>
      <c r="C917" s="1" t="s">
        <v>105</v>
      </c>
      <c r="D917" s="1" t="s">
        <v>1</v>
      </c>
      <c r="E917" s="1" t="s">
        <v>107</v>
      </c>
      <c r="F917">
        <v>1</v>
      </c>
      <c r="G917" s="1"/>
      <c r="H917" s="1" t="s">
        <v>709</v>
      </c>
      <c r="I917" s="1" t="s">
        <v>28</v>
      </c>
      <c r="J917" s="1" t="s">
        <v>31</v>
      </c>
      <c r="K917">
        <v>154</v>
      </c>
    </row>
    <row r="918" spans="1:11" x14ac:dyDescent="0.25">
      <c r="A918" s="18" t="str">
        <f xml:space="preserve">  MapNameLkup</f>
        <v>m_ofs_trex_ar_invoices</v>
      </c>
      <c r="B918" s="1" t="s">
        <v>102</v>
      </c>
      <c r="C918" s="1" t="s">
        <v>105</v>
      </c>
      <c r="D918" s="1" t="s">
        <v>1</v>
      </c>
      <c r="E918" s="1" t="s">
        <v>107</v>
      </c>
      <c r="F918">
        <v>1</v>
      </c>
      <c r="G918" s="1"/>
      <c r="H918" s="1" t="s">
        <v>710</v>
      </c>
      <c r="I918" s="1" t="s">
        <v>28</v>
      </c>
      <c r="J918" s="1" t="s">
        <v>31</v>
      </c>
      <c r="K918">
        <v>155</v>
      </c>
    </row>
    <row r="919" spans="1:11" x14ac:dyDescent="0.25">
      <c r="A919" s="18" t="str">
        <f xml:space="preserve">  MapNameLkup</f>
        <v>m_ofs_trex_ar_invoices</v>
      </c>
      <c r="B919" s="1" t="s">
        <v>102</v>
      </c>
      <c r="C919" s="1" t="s">
        <v>105</v>
      </c>
      <c r="D919" s="1" t="s">
        <v>1</v>
      </c>
      <c r="E919" s="1" t="s">
        <v>107</v>
      </c>
      <c r="F919">
        <v>1</v>
      </c>
      <c r="G919" s="1"/>
      <c r="H919" s="1" t="s">
        <v>711</v>
      </c>
      <c r="I919" s="1" t="s">
        <v>28</v>
      </c>
      <c r="J919" s="1" t="s">
        <v>31</v>
      </c>
      <c r="K919">
        <v>156</v>
      </c>
    </row>
    <row r="920" spans="1:11" x14ac:dyDescent="0.25">
      <c r="A920" s="18" t="str">
        <f xml:space="preserve">  MapNameLkup</f>
        <v>m_ofs_trex_ar_invoices</v>
      </c>
      <c r="B920" s="1" t="s">
        <v>102</v>
      </c>
      <c r="C920" s="1" t="s">
        <v>105</v>
      </c>
      <c r="D920" s="1" t="s">
        <v>1</v>
      </c>
      <c r="E920" s="1" t="s">
        <v>107</v>
      </c>
      <c r="F920">
        <v>1</v>
      </c>
      <c r="G920" s="1"/>
      <c r="H920" s="1" t="s">
        <v>712</v>
      </c>
      <c r="I920" s="1" t="s">
        <v>28</v>
      </c>
      <c r="J920" s="1" t="s">
        <v>31</v>
      </c>
      <c r="K920">
        <v>157</v>
      </c>
    </row>
    <row r="921" spans="1:11" x14ac:dyDescent="0.25">
      <c r="A921" s="18" t="str">
        <f xml:space="preserve">  MapNameLkup</f>
        <v>m_ofs_trex_ar_invoices</v>
      </c>
      <c r="B921" s="1" t="s">
        <v>102</v>
      </c>
      <c r="C921" s="1" t="s">
        <v>105</v>
      </c>
      <c r="D921" s="1" t="s">
        <v>1</v>
      </c>
      <c r="E921" s="1" t="s">
        <v>107</v>
      </c>
      <c r="F921">
        <v>1</v>
      </c>
      <c r="G921" s="1"/>
      <c r="H921" s="1" t="s">
        <v>713</v>
      </c>
      <c r="I921" s="1" t="s">
        <v>28</v>
      </c>
      <c r="J921" s="1" t="s">
        <v>31</v>
      </c>
      <c r="K921">
        <v>158</v>
      </c>
    </row>
    <row r="922" spans="1:11" x14ac:dyDescent="0.25">
      <c r="A922" s="18" t="str">
        <f xml:space="preserve">  MapNameLkup</f>
        <v>m_ofs_trex_ar_invoices</v>
      </c>
      <c r="B922" s="1" t="s">
        <v>102</v>
      </c>
      <c r="C922" s="1" t="s">
        <v>105</v>
      </c>
      <c r="D922" s="1" t="s">
        <v>1</v>
      </c>
      <c r="E922" s="1" t="s">
        <v>107</v>
      </c>
      <c r="F922">
        <v>1</v>
      </c>
      <c r="G922" s="1"/>
      <c r="H922" s="1" t="s">
        <v>714</v>
      </c>
      <c r="I922" s="1" t="s">
        <v>28</v>
      </c>
      <c r="J922" s="1" t="s">
        <v>31</v>
      </c>
      <c r="K922">
        <v>159</v>
      </c>
    </row>
    <row r="923" spans="1:11" x14ac:dyDescent="0.25">
      <c r="A923" s="18" t="str">
        <f xml:space="preserve">  MapNameLkup</f>
        <v>m_ofs_trex_ar_invoices</v>
      </c>
      <c r="B923" s="1" t="s">
        <v>102</v>
      </c>
      <c r="C923" s="1" t="s">
        <v>105</v>
      </c>
      <c r="D923" s="1" t="s">
        <v>1</v>
      </c>
      <c r="E923" s="1" t="s">
        <v>107</v>
      </c>
      <c r="F923">
        <v>1</v>
      </c>
      <c r="G923" s="1"/>
      <c r="H923" s="1" t="s">
        <v>715</v>
      </c>
      <c r="I923" s="1" t="s">
        <v>28</v>
      </c>
      <c r="J923" s="1" t="s">
        <v>31</v>
      </c>
      <c r="K923">
        <v>160</v>
      </c>
    </row>
    <row r="924" spans="1:11" x14ac:dyDescent="0.25">
      <c r="A924" s="18" t="str">
        <f xml:space="preserve">  MapNameLkup</f>
        <v>m_ofs_trex_ar_invoices</v>
      </c>
      <c r="B924" s="1" t="s">
        <v>102</v>
      </c>
      <c r="C924" s="1" t="s">
        <v>105</v>
      </c>
      <c r="D924" s="1" t="s">
        <v>1</v>
      </c>
      <c r="E924" s="1" t="s">
        <v>107</v>
      </c>
      <c r="F924">
        <v>1</v>
      </c>
      <c r="G924" s="1"/>
      <c r="H924" s="1" t="s">
        <v>716</v>
      </c>
      <c r="I924" s="1" t="s">
        <v>28</v>
      </c>
      <c r="J924" s="1" t="s">
        <v>31</v>
      </c>
      <c r="K924">
        <v>161</v>
      </c>
    </row>
    <row r="925" spans="1:11" x14ac:dyDescent="0.25">
      <c r="A925" s="18" t="str">
        <f xml:space="preserve">  MapNameLkup</f>
        <v>m_ofs_trex_ar_invoices</v>
      </c>
      <c r="B925" s="1" t="s">
        <v>102</v>
      </c>
      <c r="C925" s="1" t="s">
        <v>105</v>
      </c>
      <c r="D925" s="1" t="s">
        <v>1</v>
      </c>
      <c r="E925" s="1" t="s">
        <v>107</v>
      </c>
      <c r="F925">
        <v>1</v>
      </c>
      <c r="G925" s="1"/>
      <c r="H925" s="1" t="s">
        <v>717</v>
      </c>
      <c r="I925" s="1" t="s">
        <v>28</v>
      </c>
      <c r="J925" s="1" t="s">
        <v>31</v>
      </c>
      <c r="K925">
        <v>162</v>
      </c>
    </row>
    <row r="926" spans="1:11" x14ac:dyDescent="0.25">
      <c r="A926" s="18" t="str">
        <f xml:space="preserve">  MapNameLkup</f>
        <v>m_ofs_trex_ar_invoices</v>
      </c>
      <c r="B926" s="1" t="s">
        <v>102</v>
      </c>
      <c r="C926" s="1" t="s">
        <v>105</v>
      </c>
      <c r="D926" s="1" t="s">
        <v>1</v>
      </c>
      <c r="E926" s="1" t="s">
        <v>107</v>
      </c>
      <c r="F926">
        <v>1</v>
      </c>
      <c r="G926" s="1"/>
      <c r="H926" s="1" t="s">
        <v>718</v>
      </c>
      <c r="I926" s="1" t="s">
        <v>28</v>
      </c>
      <c r="J926" s="1" t="s">
        <v>31</v>
      </c>
      <c r="K926">
        <v>163</v>
      </c>
    </row>
    <row r="927" spans="1:11" x14ac:dyDescent="0.25">
      <c r="A927" s="18" t="str">
        <f xml:space="preserve">  MapNameLkup</f>
        <v>m_ofs_trex_ar_invoices</v>
      </c>
      <c r="B927" s="1" t="s">
        <v>102</v>
      </c>
      <c r="C927" s="1" t="s">
        <v>105</v>
      </c>
      <c r="D927" s="1" t="s">
        <v>1</v>
      </c>
      <c r="E927" s="1" t="s">
        <v>107</v>
      </c>
      <c r="F927">
        <v>1</v>
      </c>
      <c r="G927" s="1"/>
      <c r="H927" s="1" t="s">
        <v>719</v>
      </c>
      <c r="I927" s="1" t="s">
        <v>28</v>
      </c>
      <c r="J927" s="1" t="s">
        <v>31</v>
      </c>
      <c r="K927">
        <v>164</v>
      </c>
    </row>
    <row r="928" spans="1:11" x14ac:dyDescent="0.25">
      <c r="A928" s="18" t="str">
        <f xml:space="preserve">  MapNameLkup</f>
        <v>m_ofs_trex_ar_invoices</v>
      </c>
      <c r="B928" s="1" t="s">
        <v>102</v>
      </c>
      <c r="C928" s="1" t="s">
        <v>105</v>
      </c>
      <c r="D928" s="1" t="s">
        <v>1</v>
      </c>
      <c r="E928" s="1" t="s">
        <v>107</v>
      </c>
      <c r="F928">
        <v>1</v>
      </c>
      <c r="G928" s="1"/>
      <c r="H928" s="1" t="s">
        <v>720</v>
      </c>
      <c r="I928" s="1" t="s">
        <v>28</v>
      </c>
      <c r="J928" s="1" t="s">
        <v>31</v>
      </c>
      <c r="K928">
        <v>165</v>
      </c>
    </row>
    <row r="929" spans="1:11" x14ac:dyDescent="0.25">
      <c r="A929" s="18" t="str">
        <f xml:space="preserve">  MapNameLkup</f>
        <v>m_ofs_trex_ar_invoices</v>
      </c>
      <c r="B929" s="1" t="s">
        <v>102</v>
      </c>
      <c r="C929" s="1" t="s">
        <v>105</v>
      </c>
      <c r="D929" s="1" t="s">
        <v>1</v>
      </c>
      <c r="E929" s="1" t="s">
        <v>107</v>
      </c>
      <c r="F929">
        <v>1</v>
      </c>
      <c r="G929" s="1"/>
      <c r="H929" s="1" t="s">
        <v>721</v>
      </c>
      <c r="I929" s="1" t="s">
        <v>28</v>
      </c>
      <c r="J929" s="1" t="s">
        <v>31</v>
      </c>
      <c r="K929">
        <v>166</v>
      </c>
    </row>
    <row r="930" spans="1:11" x14ac:dyDescent="0.25">
      <c r="A930" s="18" t="str">
        <f xml:space="preserve">  MapNameLkup</f>
        <v>m_ofs_trex_ar_invoices</v>
      </c>
      <c r="B930" s="1" t="s">
        <v>102</v>
      </c>
      <c r="C930" s="1" t="s">
        <v>105</v>
      </c>
      <c r="D930" s="1" t="s">
        <v>1</v>
      </c>
      <c r="E930" s="1" t="s">
        <v>107</v>
      </c>
      <c r="F930">
        <v>1</v>
      </c>
      <c r="G930" s="1"/>
      <c r="H930" s="1" t="s">
        <v>722</v>
      </c>
      <c r="I930" s="1" t="s">
        <v>28</v>
      </c>
      <c r="J930" s="1" t="s">
        <v>31</v>
      </c>
      <c r="K930">
        <v>167</v>
      </c>
    </row>
    <row r="931" spans="1:11" x14ac:dyDescent="0.25">
      <c r="A931" s="18" t="str">
        <f xml:space="preserve">  MapNameLkup</f>
        <v>m_ofs_trex_ar_invoices</v>
      </c>
      <c r="B931" s="1" t="s">
        <v>102</v>
      </c>
      <c r="C931" s="1" t="s">
        <v>105</v>
      </c>
      <c r="D931" s="1" t="s">
        <v>1</v>
      </c>
      <c r="E931" s="1" t="s">
        <v>107</v>
      </c>
      <c r="F931">
        <v>1</v>
      </c>
      <c r="G931" s="1"/>
      <c r="H931" s="1" t="s">
        <v>723</v>
      </c>
      <c r="I931" s="1" t="s">
        <v>28</v>
      </c>
      <c r="J931" s="1" t="s">
        <v>31</v>
      </c>
      <c r="K931">
        <v>168</v>
      </c>
    </row>
    <row r="932" spans="1:11" x14ac:dyDescent="0.25">
      <c r="A932" s="18" t="str">
        <f xml:space="preserve">  MapNameLkup</f>
        <v>m_ofs_trex_ar_invoices</v>
      </c>
      <c r="B932" s="1" t="s">
        <v>102</v>
      </c>
      <c r="C932" s="1" t="s">
        <v>105</v>
      </c>
      <c r="D932" s="1" t="s">
        <v>1</v>
      </c>
      <c r="E932" s="1" t="s">
        <v>107</v>
      </c>
      <c r="F932">
        <v>1</v>
      </c>
      <c r="G932" s="1"/>
      <c r="H932" s="1" t="s">
        <v>724</v>
      </c>
      <c r="I932" s="1" t="s">
        <v>28</v>
      </c>
      <c r="J932" s="1" t="s">
        <v>31</v>
      </c>
      <c r="K932">
        <v>169</v>
      </c>
    </row>
    <row r="933" spans="1:11" x14ac:dyDescent="0.25">
      <c r="A933" s="18" t="str">
        <f xml:space="preserve">  MapNameLkup</f>
        <v>m_ofs_trex_ar_invoices</v>
      </c>
      <c r="B933" s="1" t="s">
        <v>102</v>
      </c>
      <c r="C933" s="1" t="s">
        <v>105</v>
      </c>
      <c r="D933" s="1" t="s">
        <v>1</v>
      </c>
      <c r="E933" s="1" t="s">
        <v>107</v>
      </c>
      <c r="F933">
        <v>1</v>
      </c>
      <c r="G933" s="1"/>
      <c r="H933" s="1" t="s">
        <v>725</v>
      </c>
      <c r="I933" s="1" t="s">
        <v>28</v>
      </c>
      <c r="J933" s="1" t="s">
        <v>31</v>
      </c>
      <c r="K933">
        <v>170</v>
      </c>
    </row>
    <row r="934" spans="1:11" x14ac:dyDescent="0.25">
      <c r="A934" s="18" t="str">
        <f xml:space="preserve">  MapNameLkup</f>
        <v>m_ofs_trex_ar_invoices</v>
      </c>
      <c r="B934" s="1" t="s">
        <v>102</v>
      </c>
      <c r="C934" s="1" t="s">
        <v>105</v>
      </c>
      <c r="D934" s="1" t="s">
        <v>1</v>
      </c>
      <c r="E934" s="1" t="s">
        <v>107</v>
      </c>
      <c r="F934">
        <v>1</v>
      </c>
      <c r="G934" s="1"/>
      <c r="H934" s="1" t="s">
        <v>726</v>
      </c>
      <c r="I934" s="1" t="s">
        <v>28</v>
      </c>
      <c r="J934" s="1" t="s">
        <v>31</v>
      </c>
      <c r="K934">
        <v>171</v>
      </c>
    </row>
    <row r="935" spans="1:11" x14ac:dyDescent="0.25">
      <c r="A935" s="18" t="str">
        <f xml:space="preserve">  MapNameLkup</f>
        <v>m_ofs_trex_ar_invoices</v>
      </c>
      <c r="B935" s="1" t="s">
        <v>102</v>
      </c>
      <c r="C935" s="1" t="s">
        <v>105</v>
      </c>
      <c r="D935" s="1" t="s">
        <v>1</v>
      </c>
      <c r="E935" s="1" t="s">
        <v>107</v>
      </c>
      <c r="F935">
        <v>1</v>
      </c>
      <c r="G935" s="1"/>
      <c r="H935" s="1" t="s">
        <v>727</v>
      </c>
      <c r="I935" s="1" t="s">
        <v>28</v>
      </c>
      <c r="J935" s="1" t="s">
        <v>31</v>
      </c>
      <c r="K935">
        <v>172</v>
      </c>
    </row>
    <row r="936" spans="1:11" x14ac:dyDescent="0.25">
      <c r="A936" s="18" t="str">
        <f xml:space="preserve">  MapNameLkup</f>
        <v>m_ofs_trex_ar_invoices</v>
      </c>
      <c r="B936" s="1" t="s">
        <v>102</v>
      </c>
      <c r="C936" s="1" t="s">
        <v>105</v>
      </c>
      <c r="D936" s="1" t="s">
        <v>1</v>
      </c>
      <c r="E936" s="1" t="s">
        <v>107</v>
      </c>
      <c r="F936">
        <v>1</v>
      </c>
      <c r="G936" s="1"/>
      <c r="H936" s="1" t="s">
        <v>374</v>
      </c>
      <c r="I936" s="1" t="s">
        <v>28</v>
      </c>
      <c r="J936" s="1" t="s">
        <v>31</v>
      </c>
      <c r="K936">
        <v>173</v>
      </c>
    </row>
    <row r="937" spans="1:11" x14ac:dyDescent="0.25">
      <c r="A937" s="18" t="str">
        <f xml:space="preserve">  MapNameLkup</f>
        <v>m_ofs_trex_ar_invoices</v>
      </c>
      <c r="B937" s="1" t="s">
        <v>102</v>
      </c>
      <c r="C937" s="1" t="s">
        <v>105</v>
      </c>
      <c r="D937" s="1" t="s">
        <v>1</v>
      </c>
      <c r="E937" s="1" t="s">
        <v>107</v>
      </c>
      <c r="F937">
        <v>1</v>
      </c>
      <c r="G937" s="1"/>
      <c r="H937" s="1" t="s">
        <v>728</v>
      </c>
      <c r="I937" s="1" t="s">
        <v>28</v>
      </c>
      <c r="J937" s="1" t="s">
        <v>31</v>
      </c>
      <c r="K937">
        <v>174</v>
      </c>
    </row>
    <row r="938" spans="1:11" x14ac:dyDescent="0.25">
      <c r="A938" s="18" t="str">
        <f xml:space="preserve">  MapNameLkup</f>
        <v>m_ofs_trex_ar_invoices</v>
      </c>
      <c r="B938" s="1" t="s">
        <v>102</v>
      </c>
      <c r="C938" s="1" t="s">
        <v>105</v>
      </c>
      <c r="D938" s="1" t="s">
        <v>1</v>
      </c>
      <c r="E938" s="1" t="s">
        <v>107</v>
      </c>
      <c r="F938">
        <v>1</v>
      </c>
      <c r="G938" s="1"/>
      <c r="H938" s="1" t="s">
        <v>729</v>
      </c>
      <c r="I938" s="1" t="s">
        <v>28</v>
      </c>
      <c r="J938" s="1" t="s">
        <v>31</v>
      </c>
      <c r="K938">
        <v>175</v>
      </c>
    </row>
    <row r="939" spans="1:11" x14ac:dyDescent="0.25">
      <c r="A939" s="18" t="str">
        <f xml:space="preserve">  MapNameLkup</f>
        <v>m_ofs_trex_ar_invoices</v>
      </c>
      <c r="B939" s="1" t="s">
        <v>102</v>
      </c>
      <c r="C939" s="1" t="s">
        <v>105</v>
      </c>
      <c r="D939" s="1" t="s">
        <v>1</v>
      </c>
      <c r="E939" s="1" t="s">
        <v>107</v>
      </c>
      <c r="F939">
        <v>1</v>
      </c>
      <c r="G939" s="1"/>
      <c r="H939" s="1" t="s">
        <v>730</v>
      </c>
      <c r="I939" s="1" t="s">
        <v>28</v>
      </c>
      <c r="J939" s="1" t="s">
        <v>31</v>
      </c>
      <c r="K939">
        <v>176</v>
      </c>
    </row>
    <row r="940" spans="1:11" x14ac:dyDescent="0.25">
      <c r="A940" s="18" t="str">
        <f xml:space="preserve">  MapNameLkup</f>
        <v>m_ofs_trex_ar_invoices</v>
      </c>
      <c r="B940" s="1" t="s">
        <v>102</v>
      </c>
      <c r="C940" s="1" t="s">
        <v>105</v>
      </c>
      <c r="D940" s="1" t="s">
        <v>1</v>
      </c>
      <c r="E940" s="1" t="s">
        <v>107</v>
      </c>
      <c r="F940">
        <v>1</v>
      </c>
      <c r="G940" s="1"/>
      <c r="H940" s="1" t="s">
        <v>731</v>
      </c>
      <c r="I940" s="1" t="s">
        <v>28</v>
      </c>
      <c r="J940" s="1" t="s">
        <v>31</v>
      </c>
      <c r="K940">
        <v>177</v>
      </c>
    </row>
    <row r="941" spans="1:11" x14ac:dyDescent="0.25">
      <c r="A941" s="18" t="str">
        <f xml:space="preserve">  MapNameLkup</f>
        <v>m_ofs_trex_ar_invoices</v>
      </c>
      <c r="B941" s="1" t="s">
        <v>103</v>
      </c>
      <c r="C941" s="1" t="s">
        <v>105</v>
      </c>
      <c r="D941" s="1" t="s">
        <v>1</v>
      </c>
      <c r="E941" s="1" t="s">
        <v>107</v>
      </c>
      <c r="F941">
        <v>1</v>
      </c>
      <c r="G941" s="1"/>
      <c r="H941" s="1" t="s">
        <v>732</v>
      </c>
      <c r="I941" s="1" t="s">
        <v>28</v>
      </c>
      <c r="J941" s="1" t="s">
        <v>32</v>
      </c>
      <c r="K941">
        <v>1</v>
      </c>
    </row>
    <row r="942" spans="1:11" x14ac:dyDescent="0.25">
      <c r="A942" s="18" t="str">
        <f xml:space="preserve">  MapNameLkup</f>
        <v>m_ofs_trex_ar_invoices</v>
      </c>
      <c r="B942" s="1" t="s">
        <v>103</v>
      </c>
      <c r="C942" s="1" t="s">
        <v>105</v>
      </c>
      <c r="D942" s="1" t="s">
        <v>1</v>
      </c>
      <c r="E942" s="1" t="s">
        <v>107</v>
      </c>
      <c r="F942">
        <v>1</v>
      </c>
      <c r="G942" s="1"/>
      <c r="H942" s="1" t="s">
        <v>733</v>
      </c>
      <c r="I942" s="1" t="s">
        <v>28</v>
      </c>
      <c r="J942" s="1" t="s">
        <v>31</v>
      </c>
      <c r="K942">
        <v>2</v>
      </c>
    </row>
    <row r="943" spans="1:11" x14ac:dyDescent="0.25">
      <c r="A943" s="18" t="str">
        <f xml:space="preserve">  MapNameLkup</f>
        <v>m_ofs_trex_ar_invoices</v>
      </c>
      <c r="B943" s="1" t="s">
        <v>103</v>
      </c>
      <c r="C943" s="1" t="s">
        <v>105</v>
      </c>
      <c r="D943" s="1" t="s">
        <v>1</v>
      </c>
      <c r="E943" s="1" t="s">
        <v>107</v>
      </c>
      <c r="F943">
        <v>1</v>
      </c>
      <c r="G943" s="1"/>
      <c r="H943" s="1" t="s">
        <v>404</v>
      </c>
      <c r="I943" s="1" t="s">
        <v>28</v>
      </c>
      <c r="J943" s="1" t="s">
        <v>32</v>
      </c>
      <c r="K943">
        <v>3</v>
      </c>
    </row>
    <row r="944" spans="1:11" x14ac:dyDescent="0.25">
      <c r="A944" s="18" t="str">
        <f xml:space="preserve">  MapNameLkup</f>
        <v>m_ofs_trex_ar_invoices</v>
      </c>
      <c r="B944" s="1" t="s">
        <v>103</v>
      </c>
      <c r="C944" s="1" t="s">
        <v>105</v>
      </c>
      <c r="D944" s="1" t="s">
        <v>1</v>
      </c>
      <c r="E944" s="1" t="s">
        <v>107</v>
      </c>
      <c r="F944">
        <v>1</v>
      </c>
      <c r="G944" s="1"/>
      <c r="H944" s="1" t="s">
        <v>405</v>
      </c>
      <c r="I944" s="1" t="s">
        <v>28</v>
      </c>
      <c r="J944" s="1" t="s">
        <v>32</v>
      </c>
      <c r="K944">
        <v>4</v>
      </c>
    </row>
    <row r="945" spans="1:11" x14ac:dyDescent="0.25">
      <c r="A945" s="18" t="str">
        <f xml:space="preserve">  MapNameLkup</f>
        <v>m_ofs_trex_ar_invoices</v>
      </c>
      <c r="B945" s="1" t="s">
        <v>103</v>
      </c>
      <c r="C945" s="1" t="s">
        <v>105</v>
      </c>
      <c r="D945" s="1" t="s">
        <v>1</v>
      </c>
      <c r="E945" s="1" t="s">
        <v>107</v>
      </c>
      <c r="F945">
        <v>1</v>
      </c>
      <c r="G945" s="1"/>
      <c r="H945" s="1" t="s">
        <v>154</v>
      </c>
      <c r="I945" s="1" t="s">
        <v>28</v>
      </c>
      <c r="J945" s="1" t="s">
        <v>32</v>
      </c>
      <c r="K945">
        <v>5</v>
      </c>
    </row>
    <row r="946" spans="1:11" x14ac:dyDescent="0.25">
      <c r="A946" s="18" t="str">
        <f xml:space="preserve">  MapNameLkup</f>
        <v>m_ofs_trex_ar_invoices</v>
      </c>
      <c r="B946" s="1" t="s">
        <v>103</v>
      </c>
      <c r="C946" s="1" t="s">
        <v>105</v>
      </c>
      <c r="D946" s="1" t="s">
        <v>1</v>
      </c>
      <c r="E946" s="1" t="s">
        <v>107</v>
      </c>
      <c r="F946">
        <v>1</v>
      </c>
      <c r="G946" s="1"/>
      <c r="H946" s="1" t="s">
        <v>155</v>
      </c>
      <c r="I946" s="1" t="s">
        <v>28</v>
      </c>
      <c r="J946" s="1" t="s">
        <v>32</v>
      </c>
      <c r="K946">
        <v>6</v>
      </c>
    </row>
    <row r="947" spans="1:11" x14ac:dyDescent="0.25">
      <c r="A947" s="18" t="str">
        <f xml:space="preserve">  MapNameLkup</f>
        <v>m_ofs_trex_ar_invoices</v>
      </c>
      <c r="B947" s="1" t="s">
        <v>103</v>
      </c>
      <c r="C947" s="1" t="s">
        <v>105</v>
      </c>
      <c r="D947" s="1" t="s">
        <v>1</v>
      </c>
      <c r="E947" s="1" t="s">
        <v>107</v>
      </c>
      <c r="F947">
        <v>1</v>
      </c>
      <c r="G947" s="1"/>
      <c r="H947" s="1" t="s">
        <v>156</v>
      </c>
      <c r="I947" s="1" t="s">
        <v>28</v>
      </c>
      <c r="J947" s="1" t="s">
        <v>32</v>
      </c>
      <c r="K947">
        <v>7</v>
      </c>
    </row>
    <row r="948" spans="1:11" x14ac:dyDescent="0.25">
      <c r="A948" s="18" t="str">
        <f xml:space="preserve">  MapNameLkup</f>
        <v>m_ofs_trex_ar_invoices</v>
      </c>
      <c r="B948" s="1" t="s">
        <v>103</v>
      </c>
      <c r="C948" s="1" t="s">
        <v>105</v>
      </c>
      <c r="D948" s="1" t="s">
        <v>1</v>
      </c>
      <c r="E948" s="1" t="s">
        <v>107</v>
      </c>
      <c r="F948">
        <v>1</v>
      </c>
      <c r="G948" s="1"/>
      <c r="H948" s="1" t="s">
        <v>157</v>
      </c>
      <c r="I948" s="1" t="s">
        <v>28</v>
      </c>
      <c r="J948" s="1" t="s">
        <v>32</v>
      </c>
      <c r="K948">
        <v>8</v>
      </c>
    </row>
    <row r="949" spans="1:11" x14ac:dyDescent="0.25">
      <c r="A949" s="18" t="str">
        <f xml:space="preserve">  MapNameLkup</f>
        <v>m_ofs_trex_ar_invoices</v>
      </c>
      <c r="B949" s="1" t="s">
        <v>103</v>
      </c>
      <c r="C949" s="1" t="s">
        <v>105</v>
      </c>
      <c r="D949" s="1" t="s">
        <v>1</v>
      </c>
      <c r="E949" s="1" t="s">
        <v>107</v>
      </c>
      <c r="F949">
        <v>1</v>
      </c>
      <c r="G949" s="1"/>
      <c r="H949" s="1" t="s">
        <v>158</v>
      </c>
      <c r="I949" s="1" t="s">
        <v>28</v>
      </c>
      <c r="J949" s="1" t="s">
        <v>31</v>
      </c>
      <c r="K949">
        <v>9</v>
      </c>
    </row>
    <row r="950" spans="1:11" x14ac:dyDescent="0.25">
      <c r="A950" s="18" t="str">
        <f xml:space="preserve">  MapNameLkup</f>
        <v>m_ofs_trex_ar_invoices</v>
      </c>
      <c r="B950" s="1" t="s">
        <v>103</v>
      </c>
      <c r="C950" s="1" t="s">
        <v>105</v>
      </c>
      <c r="D950" s="1" t="s">
        <v>1</v>
      </c>
      <c r="E950" s="1" t="s">
        <v>107</v>
      </c>
      <c r="F950">
        <v>1</v>
      </c>
      <c r="G950" s="1"/>
      <c r="H950" s="1" t="s">
        <v>734</v>
      </c>
      <c r="I950" s="1" t="s">
        <v>28</v>
      </c>
      <c r="J950" s="1" t="s">
        <v>31</v>
      </c>
      <c r="K950">
        <v>10</v>
      </c>
    </row>
    <row r="951" spans="1:11" x14ac:dyDescent="0.25">
      <c r="A951" s="18" t="str">
        <f xml:space="preserve">  MapNameLkup</f>
        <v>m_ofs_trex_ar_invoices</v>
      </c>
      <c r="B951" s="1" t="s">
        <v>103</v>
      </c>
      <c r="C951" s="1" t="s">
        <v>105</v>
      </c>
      <c r="D951" s="1" t="s">
        <v>1</v>
      </c>
      <c r="E951" s="1" t="s">
        <v>107</v>
      </c>
      <c r="F951">
        <v>1</v>
      </c>
      <c r="G951" s="1"/>
      <c r="H951" s="1" t="s">
        <v>735</v>
      </c>
      <c r="I951" s="1" t="s">
        <v>28</v>
      </c>
      <c r="J951" s="1" t="s">
        <v>31</v>
      </c>
      <c r="K951">
        <v>11</v>
      </c>
    </row>
    <row r="952" spans="1:11" x14ac:dyDescent="0.25">
      <c r="A952" s="18" t="str">
        <f xml:space="preserve">  MapNameLkup</f>
        <v>m_ofs_trex_ar_invoices</v>
      </c>
      <c r="B952" s="1" t="s">
        <v>103</v>
      </c>
      <c r="C952" s="1" t="s">
        <v>105</v>
      </c>
      <c r="D952" s="1" t="s">
        <v>1</v>
      </c>
      <c r="E952" s="1" t="s">
        <v>107</v>
      </c>
      <c r="F952">
        <v>1</v>
      </c>
      <c r="G952" s="1"/>
      <c r="H952" s="1" t="s">
        <v>376</v>
      </c>
      <c r="I952" s="1" t="s">
        <v>28</v>
      </c>
      <c r="J952" s="1" t="s">
        <v>31</v>
      </c>
      <c r="K952">
        <v>12</v>
      </c>
    </row>
    <row r="953" spans="1:11" x14ac:dyDescent="0.25">
      <c r="A953" s="18" t="str">
        <f xml:space="preserve">  MapNameLkup</f>
        <v>m_ofs_trex_ar_invoices</v>
      </c>
      <c r="B953" s="1" t="s">
        <v>103</v>
      </c>
      <c r="C953" s="1" t="s">
        <v>105</v>
      </c>
      <c r="D953" s="1" t="s">
        <v>1</v>
      </c>
      <c r="E953" s="1" t="s">
        <v>107</v>
      </c>
      <c r="F953">
        <v>1</v>
      </c>
      <c r="G953" s="1"/>
      <c r="H953" s="1" t="s">
        <v>422</v>
      </c>
      <c r="I953" s="1" t="s">
        <v>28</v>
      </c>
      <c r="J953" s="1" t="s">
        <v>31</v>
      </c>
      <c r="K953">
        <v>13</v>
      </c>
    </row>
    <row r="954" spans="1:11" x14ac:dyDescent="0.25">
      <c r="A954" s="18" t="str">
        <f xml:space="preserve">  MapNameLkup</f>
        <v>m_ofs_trex_ar_invoices</v>
      </c>
      <c r="B954" s="1" t="s">
        <v>103</v>
      </c>
      <c r="C954" s="1" t="s">
        <v>105</v>
      </c>
      <c r="D954" s="1" t="s">
        <v>1</v>
      </c>
      <c r="E954" s="1" t="s">
        <v>107</v>
      </c>
      <c r="F954">
        <v>1</v>
      </c>
      <c r="G954" s="1"/>
      <c r="H954" s="1" t="s">
        <v>736</v>
      </c>
      <c r="I954" s="1" t="s">
        <v>28</v>
      </c>
      <c r="J954" s="1" t="s">
        <v>31</v>
      </c>
      <c r="K954">
        <v>14</v>
      </c>
    </row>
    <row r="955" spans="1:11" x14ac:dyDescent="0.25">
      <c r="A955" s="18" t="str">
        <f xml:space="preserve">  MapNameLkup</f>
        <v>m_ofs_trex_ar_invoices</v>
      </c>
      <c r="B955" s="1" t="s">
        <v>103</v>
      </c>
      <c r="C955" s="1" t="s">
        <v>105</v>
      </c>
      <c r="D955" s="1" t="s">
        <v>1</v>
      </c>
      <c r="E955" s="1" t="s">
        <v>107</v>
      </c>
      <c r="F955">
        <v>1</v>
      </c>
      <c r="G955" s="1"/>
      <c r="H955" s="1" t="s">
        <v>423</v>
      </c>
      <c r="I955" s="1" t="s">
        <v>28</v>
      </c>
      <c r="J955" s="1" t="s">
        <v>31</v>
      </c>
      <c r="K955">
        <v>15</v>
      </c>
    </row>
    <row r="956" spans="1:11" x14ac:dyDescent="0.25">
      <c r="A956" s="18" t="str">
        <f xml:space="preserve">  MapNameLkup</f>
        <v>m_ofs_trex_ar_invoices</v>
      </c>
      <c r="B956" s="1" t="s">
        <v>103</v>
      </c>
      <c r="C956" s="1" t="s">
        <v>105</v>
      </c>
      <c r="D956" s="1" t="s">
        <v>1</v>
      </c>
      <c r="E956" s="1" t="s">
        <v>107</v>
      </c>
      <c r="F956">
        <v>1</v>
      </c>
      <c r="G956" s="1"/>
      <c r="H956" s="1" t="s">
        <v>163</v>
      </c>
      <c r="I956" s="1" t="s">
        <v>28</v>
      </c>
      <c r="J956" s="1" t="s">
        <v>31</v>
      </c>
      <c r="K956">
        <v>16</v>
      </c>
    </row>
    <row r="957" spans="1:11" x14ac:dyDescent="0.25">
      <c r="A957" s="18" t="str">
        <f xml:space="preserve">  MapNameLkup</f>
        <v>m_ofs_trex_ar_invoices</v>
      </c>
      <c r="B957" s="1" t="s">
        <v>103</v>
      </c>
      <c r="C957" s="1" t="s">
        <v>105</v>
      </c>
      <c r="D957" s="1" t="s">
        <v>1</v>
      </c>
      <c r="E957" s="1" t="s">
        <v>107</v>
      </c>
      <c r="F957">
        <v>1</v>
      </c>
      <c r="G957" s="1"/>
      <c r="H957" s="1" t="s">
        <v>164</v>
      </c>
      <c r="I957" s="1" t="s">
        <v>28</v>
      </c>
      <c r="J957" s="1" t="s">
        <v>31</v>
      </c>
      <c r="K957">
        <v>17</v>
      </c>
    </row>
    <row r="958" spans="1:11" x14ac:dyDescent="0.25">
      <c r="A958" s="18" t="str">
        <f xml:space="preserve">  MapNameLkup</f>
        <v>m_ofs_trex_ar_invoices</v>
      </c>
      <c r="B958" s="1" t="s">
        <v>103</v>
      </c>
      <c r="C958" s="1" t="s">
        <v>105</v>
      </c>
      <c r="D958" s="1" t="s">
        <v>1</v>
      </c>
      <c r="E958" s="1" t="s">
        <v>107</v>
      </c>
      <c r="F958">
        <v>1</v>
      </c>
      <c r="G958" s="1"/>
      <c r="H958" s="1" t="s">
        <v>165</v>
      </c>
      <c r="I958" s="1" t="s">
        <v>28</v>
      </c>
      <c r="J958" s="1" t="s">
        <v>31</v>
      </c>
      <c r="K958">
        <v>18</v>
      </c>
    </row>
    <row r="959" spans="1:11" x14ac:dyDescent="0.25">
      <c r="A959" s="18" t="str">
        <f xml:space="preserve">  MapNameLkup</f>
        <v>m_ofs_trex_ar_invoices</v>
      </c>
      <c r="B959" s="1" t="s">
        <v>103</v>
      </c>
      <c r="C959" s="1" t="s">
        <v>105</v>
      </c>
      <c r="D959" s="1" t="s">
        <v>1</v>
      </c>
      <c r="E959" s="1" t="s">
        <v>107</v>
      </c>
      <c r="F959">
        <v>1</v>
      </c>
      <c r="G959" s="1"/>
      <c r="H959" s="1" t="s">
        <v>166</v>
      </c>
      <c r="I959" s="1" t="s">
        <v>28</v>
      </c>
      <c r="J959" s="1" t="s">
        <v>31</v>
      </c>
      <c r="K959">
        <v>19</v>
      </c>
    </row>
    <row r="960" spans="1:11" x14ac:dyDescent="0.25">
      <c r="A960" s="18" t="str">
        <f xml:space="preserve">  MapNameLkup</f>
        <v>m_ofs_trex_ar_invoices</v>
      </c>
      <c r="B960" s="1" t="s">
        <v>103</v>
      </c>
      <c r="C960" s="1" t="s">
        <v>105</v>
      </c>
      <c r="D960" s="1" t="s">
        <v>1</v>
      </c>
      <c r="E960" s="1" t="s">
        <v>107</v>
      </c>
      <c r="F960">
        <v>1</v>
      </c>
      <c r="G960" s="1"/>
      <c r="H960" s="1" t="s">
        <v>167</v>
      </c>
      <c r="I960" s="1" t="s">
        <v>28</v>
      </c>
      <c r="J960" s="1" t="s">
        <v>31</v>
      </c>
      <c r="K960">
        <v>20</v>
      </c>
    </row>
    <row r="961" spans="1:11" x14ac:dyDescent="0.25">
      <c r="A961" s="18" t="str">
        <f xml:space="preserve">  MapNameLkup</f>
        <v>m_ofs_trex_ar_invoices</v>
      </c>
      <c r="B961" s="1" t="s">
        <v>103</v>
      </c>
      <c r="C961" s="1" t="s">
        <v>105</v>
      </c>
      <c r="D961" s="1" t="s">
        <v>1</v>
      </c>
      <c r="E961" s="1" t="s">
        <v>107</v>
      </c>
      <c r="F961">
        <v>1</v>
      </c>
      <c r="G961" s="1"/>
      <c r="H961" s="1" t="s">
        <v>168</v>
      </c>
      <c r="I961" s="1" t="s">
        <v>28</v>
      </c>
      <c r="J961" s="1" t="s">
        <v>31</v>
      </c>
      <c r="K961">
        <v>21</v>
      </c>
    </row>
    <row r="962" spans="1:11" x14ac:dyDescent="0.25">
      <c r="A962" s="18" t="str">
        <f xml:space="preserve">  MapNameLkup</f>
        <v>m_ofs_trex_ar_invoices</v>
      </c>
      <c r="B962" s="1" t="s">
        <v>103</v>
      </c>
      <c r="C962" s="1" t="s">
        <v>105</v>
      </c>
      <c r="D962" s="1" t="s">
        <v>1</v>
      </c>
      <c r="E962" s="1" t="s">
        <v>107</v>
      </c>
      <c r="F962">
        <v>1</v>
      </c>
      <c r="G962" s="1"/>
      <c r="H962" s="1" t="s">
        <v>169</v>
      </c>
      <c r="I962" s="1" t="s">
        <v>28</v>
      </c>
      <c r="J962" s="1" t="s">
        <v>31</v>
      </c>
      <c r="K962">
        <v>22</v>
      </c>
    </row>
    <row r="963" spans="1:11" x14ac:dyDescent="0.25">
      <c r="A963" s="18" t="str">
        <f xml:space="preserve">  MapNameLkup</f>
        <v>m_ofs_trex_ar_invoices</v>
      </c>
      <c r="B963" s="1" t="s">
        <v>103</v>
      </c>
      <c r="C963" s="1" t="s">
        <v>105</v>
      </c>
      <c r="D963" s="1" t="s">
        <v>1</v>
      </c>
      <c r="E963" s="1" t="s">
        <v>107</v>
      </c>
      <c r="F963">
        <v>1</v>
      </c>
      <c r="G963" s="1"/>
      <c r="H963" s="1" t="s">
        <v>170</v>
      </c>
      <c r="I963" s="1" t="s">
        <v>28</v>
      </c>
      <c r="J963" s="1" t="s">
        <v>31</v>
      </c>
      <c r="K963">
        <v>23</v>
      </c>
    </row>
    <row r="964" spans="1:11" x14ac:dyDescent="0.25">
      <c r="A964" s="18" t="str">
        <f xml:space="preserve">  MapNameLkup</f>
        <v>m_ofs_trex_ar_invoices</v>
      </c>
      <c r="B964" s="1" t="s">
        <v>103</v>
      </c>
      <c r="C964" s="1" t="s">
        <v>105</v>
      </c>
      <c r="D964" s="1" t="s">
        <v>1</v>
      </c>
      <c r="E964" s="1" t="s">
        <v>107</v>
      </c>
      <c r="F964">
        <v>1</v>
      </c>
      <c r="G964" s="1"/>
      <c r="H964" s="1" t="s">
        <v>171</v>
      </c>
      <c r="I964" s="1" t="s">
        <v>28</v>
      </c>
      <c r="J964" s="1" t="s">
        <v>31</v>
      </c>
      <c r="K964">
        <v>24</v>
      </c>
    </row>
    <row r="965" spans="1:11" x14ac:dyDescent="0.25">
      <c r="A965" s="18" t="str">
        <f xml:space="preserve">  MapNameLkup</f>
        <v>m_ofs_trex_ar_invoices</v>
      </c>
      <c r="B965" s="1" t="s">
        <v>103</v>
      </c>
      <c r="C965" s="1" t="s">
        <v>105</v>
      </c>
      <c r="D965" s="1" t="s">
        <v>1</v>
      </c>
      <c r="E965" s="1" t="s">
        <v>107</v>
      </c>
      <c r="F965">
        <v>1</v>
      </c>
      <c r="G965" s="1"/>
      <c r="H965" s="1" t="s">
        <v>172</v>
      </c>
      <c r="I965" s="1" t="s">
        <v>28</v>
      </c>
      <c r="J965" s="1" t="s">
        <v>31</v>
      </c>
      <c r="K965">
        <v>25</v>
      </c>
    </row>
    <row r="966" spans="1:11" x14ac:dyDescent="0.25">
      <c r="A966" s="18" t="str">
        <f xml:space="preserve">  MapNameLkup</f>
        <v>m_ofs_trex_ar_invoices</v>
      </c>
      <c r="B966" s="1" t="s">
        <v>103</v>
      </c>
      <c r="C966" s="1" t="s">
        <v>105</v>
      </c>
      <c r="D966" s="1" t="s">
        <v>1</v>
      </c>
      <c r="E966" s="1" t="s">
        <v>107</v>
      </c>
      <c r="F966">
        <v>1</v>
      </c>
      <c r="G966" s="1"/>
      <c r="H966" s="1" t="s">
        <v>173</v>
      </c>
      <c r="I966" s="1" t="s">
        <v>28</v>
      </c>
      <c r="J966" s="1" t="s">
        <v>31</v>
      </c>
      <c r="K966">
        <v>26</v>
      </c>
    </row>
    <row r="967" spans="1:11" x14ac:dyDescent="0.25">
      <c r="A967" s="18" t="str">
        <f xml:space="preserve">  MapNameLkup</f>
        <v>m_ofs_trex_ar_invoices</v>
      </c>
      <c r="B967" s="1" t="s">
        <v>103</v>
      </c>
      <c r="C967" s="1" t="s">
        <v>105</v>
      </c>
      <c r="D967" s="1" t="s">
        <v>1</v>
      </c>
      <c r="E967" s="1" t="s">
        <v>107</v>
      </c>
      <c r="F967">
        <v>1</v>
      </c>
      <c r="G967" s="1"/>
      <c r="H967" s="1" t="s">
        <v>382</v>
      </c>
      <c r="I967" s="1" t="s">
        <v>28</v>
      </c>
      <c r="J967" s="1" t="s">
        <v>31</v>
      </c>
      <c r="K967">
        <v>27</v>
      </c>
    </row>
    <row r="968" spans="1:11" x14ac:dyDescent="0.25">
      <c r="A968" s="18" t="str">
        <f xml:space="preserve">  MapNameLkup</f>
        <v>m_ofs_trex_ar_invoices</v>
      </c>
      <c r="B968" s="1" t="s">
        <v>103</v>
      </c>
      <c r="C968" s="1" t="s">
        <v>105</v>
      </c>
      <c r="D968" s="1" t="s">
        <v>1</v>
      </c>
      <c r="E968" s="1" t="s">
        <v>107</v>
      </c>
      <c r="F968">
        <v>1</v>
      </c>
      <c r="G968" s="1"/>
      <c r="H968" s="1" t="s">
        <v>378</v>
      </c>
      <c r="I968" s="1" t="s">
        <v>28</v>
      </c>
      <c r="J968" s="1" t="s">
        <v>31</v>
      </c>
      <c r="K968">
        <v>28</v>
      </c>
    </row>
    <row r="969" spans="1:11" x14ac:dyDescent="0.25">
      <c r="A969" s="18" t="str">
        <f xml:space="preserve">  MapNameLkup</f>
        <v>m_ofs_trex_ar_invoices</v>
      </c>
      <c r="B969" s="1" t="s">
        <v>103</v>
      </c>
      <c r="C969" s="1" t="s">
        <v>105</v>
      </c>
      <c r="D969" s="1" t="s">
        <v>1</v>
      </c>
      <c r="E969" s="1" t="s">
        <v>107</v>
      </c>
      <c r="F969">
        <v>1</v>
      </c>
      <c r="G969" s="1"/>
      <c r="H969" s="1" t="s">
        <v>379</v>
      </c>
      <c r="I969" s="1" t="s">
        <v>28</v>
      </c>
      <c r="J969" s="1" t="s">
        <v>31</v>
      </c>
      <c r="K969">
        <v>29</v>
      </c>
    </row>
    <row r="970" spans="1:11" x14ac:dyDescent="0.25">
      <c r="A970" s="18" t="str">
        <f xml:space="preserve">  MapNameLkup</f>
        <v>m_ofs_trex_ar_invoices</v>
      </c>
      <c r="B970" s="1" t="s">
        <v>103</v>
      </c>
      <c r="C970" s="1" t="s">
        <v>105</v>
      </c>
      <c r="D970" s="1" t="s">
        <v>1</v>
      </c>
      <c r="E970" s="1" t="s">
        <v>107</v>
      </c>
      <c r="F970">
        <v>1</v>
      </c>
      <c r="G970" s="1"/>
      <c r="H970" s="1" t="s">
        <v>380</v>
      </c>
      <c r="I970" s="1" t="s">
        <v>28</v>
      </c>
      <c r="J970" s="1" t="s">
        <v>31</v>
      </c>
      <c r="K970">
        <v>30</v>
      </c>
    </row>
    <row r="971" spans="1:11" x14ac:dyDescent="0.25">
      <c r="A971" s="18" t="str">
        <f xml:space="preserve">  MapNameLkup</f>
        <v>m_ofs_trex_ar_invoices</v>
      </c>
      <c r="B971" s="1" t="s">
        <v>103</v>
      </c>
      <c r="C971" s="1" t="s">
        <v>105</v>
      </c>
      <c r="D971" s="1" t="s">
        <v>1</v>
      </c>
      <c r="E971" s="1" t="s">
        <v>107</v>
      </c>
      <c r="F971">
        <v>1</v>
      </c>
      <c r="G971" s="1"/>
      <c r="H971" s="1" t="s">
        <v>737</v>
      </c>
      <c r="I971" s="1" t="s">
        <v>28</v>
      </c>
      <c r="J971" s="1" t="s">
        <v>31</v>
      </c>
      <c r="K971">
        <v>31</v>
      </c>
    </row>
    <row r="972" spans="1:11" x14ac:dyDescent="0.25">
      <c r="A972" s="18" t="str">
        <f xml:space="preserve">  MapNameLkup</f>
        <v>m_ofs_trex_ar_invoices</v>
      </c>
      <c r="B972" s="1" t="s">
        <v>103</v>
      </c>
      <c r="C972" s="1" t="s">
        <v>105</v>
      </c>
      <c r="D972" s="1" t="s">
        <v>1</v>
      </c>
      <c r="E972" s="1" t="s">
        <v>107</v>
      </c>
      <c r="F972">
        <v>1</v>
      </c>
      <c r="G972" s="1"/>
      <c r="H972" s="1" t="s">
        <v>738</v>
      </c>
      <c r="I972" s="1" t="s">
        <v>28</v>
      </c>
      <c r="J972" s="1" t="s">
        <v>31</v>
      </c>
      <c r="K972">
        <v>32</v>
      </c>
    </row>
    <row r="973" spans="1:11" x14ac:dyDescent="0.25">
      <c r="A973" s="18" t="str">
        <f xml:space="preserve">  MapNameLkup</f>
        <v>m_ofs_trex_ar_invoices</v>
      </c>
      <c r="B973" s="1" t="s">
        <v>103</v>
      </c>
      <c r="C973" s="1" t="s">
        <v>105</v>
      </c>
      <c r="D973" s="1" t="s">
        <v>1</v>
      </c>
      <c r="E973" s="1" t="s">
        <v>107</v>
      </c>
      <c r="F973">
        <v>1</v>
      </c>
      <c r="G973" s="1"/>
      <c r="H973" s="1" t="s">
        <v>654</v>
      </c>
      <c r="I973" s="1" t="s">
        <v>28</v>
      </c>
      <c r="J973" s="1" t="s">
        <v>31</v>
      </c>
      <c r="K973">
        <v>33</v>
      </c>
    </row>
    <row r="974" spans="1:11" x14ac:dyDescent="0.25">
      <c r="A974" s="18" t="str">
        <f xml:space="preserve">  MapNameLkup</f>
        <v>m_ofs_trex_ar_invoices</v>
      </c>
      <c r="B974" s="1" t="s">
        <v>103</v>
      </c>
      <c r="C974" s="1" t="s">
        <v>105</v>
      </c>
      <c r="D974" s="1" t="s">
        <v>1</v>
      </c>
      <c r="E974" s="1" t="s">
        <v>107</v>
      </c>
      <c r="F974">
        <v>1</v>
      </c>
      <c r="G974" s="1"/>
      <c r="H974" s="1" t="s">
        <v>425</v>
      </c>
      <c r="I974" s="1" t="s">
        <v>28</v>
      </c>
      <c r="J974" s="1" t="s">
        <v>32</v>
      </c>
      <c r="K974">
        <v>34</v>
      </c>
    </row>
    <row r="975" spans="1:11" x14ac:dyDescent="0.25">
      <c r="A975" s="18" t="str">
        <f xml:space="preserve">  MapNameLkup</f>
        <v>m_ofs_trex_ar_invoices</v>
      </c>
      <c r="B975" s="1" t="s">
        <v>103</v>
      </c>
      <c r="C975" s="1" t="s">
        <v>105</v>
      </c>
      <c r="D975" s="1" t="s">
        <v>1</v>
      </c>
      <c r="E975" s="1" t="s">
        <v>107</v>
      </c>
      <c r="F975">
        <v>1</v>
      </c>
      <c r="G975" s="1"/>
      <c r="H975" s="1" t="s">
        <v>739</v>
      </c>
      <c r="I975" s="1" t="s">
        <v>28</v>
      </c>
      <c r="J975" s="1" t="s">
        <v>32</v>
      </c>
      <c r="K975">
        <v>35</v>
      </c>
    </row>
    <row r="976" spans="1:11" x14ac:dyDescent="0.25">
      <c r="A976" s="18" t="str">
        <f xml:space="preserve">  MapNameLkup</f>
        <v>m_ofs_trex_ar_invoices</v>
      </c>
      <c r="B976" s="1" t="s">
        <v>103</v>
      </c>
      <c r="C976" s="1" t="s">
        <v>105</v>
      </c>
      <c r="D976" s="1" t="s">
        <v>1</v>
      </c>
      <c r="E976" s="1" t="s">
        <v>107</v>
      </c>
      <c r="F976">
        <v>1</v>
      </c>
      <c r="G976" s="1"/>
      <c r="H976" s="1" t="s">
        <v>658</v>
      </c>
      <c r="I976" s="1" t="s">
        <v>28</v>
      </c>
      <c r="J976" s="1" t="s">
        <v>31</v>
      </c>
      <c r="K976">
        <v>36</v>
      </c>
    </row>
    <row r="977" spans="1:11" x14ac:dyDescent="0.25">
      <c r="A977" s="18" t="str">
        <f xml:space="preserve">  MapNameLkup</f>
        <v>m_ofs_trex_ar_invoices</v>
      </c>
      <c r="B977" s="1" t="s">
        <v>103</v>
      </c>
      <c r="C977" s="1" t="s">
        <v>105</v>
      </c>
      <c r="D977" s="1" t="s">
        <v>1</v>
      </c>
      <c r="E977" s="1" t="s">
        <v>107</v>
      </c>
      <c r="F977">
        <v>1</v>
      </c>
      <c r="G977" s="1"/>
      <c r="H977" s="1" t="s">
        <v>326</v>
      </c>
      <c r="I977" s="1" t="s">
        <v>28</v>
      </c>
      <c r="J977" s="1" t="s">
        <v>32</v>
      </c>
      <c r="K977">
        <v>37</v>
      </c>
    </row>
    <row r="978" spans="1:11" x14ac:dyDescent="0.25">
      <c r="A978" s="18" t="str">
        <f xml:space="preserve">  MapNameLkup</f>
        <v>m_ofs_trex_ar_invoices</v>
      </c>
      <c r="B978" s="1" t="s">
        <v>103</v>
      </c>
      <c r="C978" s="1" t="s">
        <v>105</v>
      </c>
      <c r="D978" s="1" t="s">
        <v>1</v>
      </c>
      <c r="E978" s="1" t="s">
        <v>107</v>
      </c>
      <c r="F978">
        <v>1</v>
      </c>
      <c r="G978" s="1"/>
      <c r="H978" s="1" t="s">
        <v>740</v>
      </c>
      <c r="I978" s="1" t="s">
        <v>28</v>
      </c>
      <c r="J978" s="1" t="s">
        <v>32</v>
      </c>
      <c r="K978">
        <v>38</v>
      </c>
    </row>
    <row r="979" spans="1:11" x14ac:dyDescent="0.25">
      <c r="A979" s="18" t="str">
        <f xml:space="preserve">  MapNameLkup</f>
        <v>m_ofs_trex_ar_invoices</v>
      </c>
      <c r="B979" s="1" t="s">
        <v>103</v>
      </c>
      <c r="C979" s="1" t="s">
        <v>105</v>
      </c>
      <c r="D979" s="1" t="s">
        <v>1</v>
      </c>
      <c r="E979" s="1" t="s">
        <v>107</v>
      </c>
      <c r="F979">
        <v>1</v>
      </c>
      <c r="G979" s="1"/>
      <c r="H979" s="1" t="s">
        <v>741</v>
      </c>
      <c r="I979" s="1" t="s">
        <v>28</v>
      </c>
      <c r="J979" s="1" t="s">
        <v>31</v>
      </c>
      <c r="K979">
        <v>39</v>
      </c>
    </row>
    <row r="980" spans="1:11" x14ac:dyDescent="0.25">
      <c r="A980" s="18" t="str">
        <f xml:space="preserve">  MapNameLkup</f>
        <v>m_ofs_trex_ar_invoices</v>
      </c>
      <c r="B980" s="1" t="s">
        <v>103</v>
      </c>
      <c r="C980" s="1" t="s">
        <v>105</v>
      </c>
      <c r="D980" s="1" t="s">
        <v>1</v>
      </c>
      <c r="E980" s="1" t="s">
        <v>107</v>
      </c>
      <c r="F980">
        <v>1</v>
      </c>
      <c r="G980" s="1"/>
      <c r="H980" s="1" t="s">
        <v>430</v>
      </c>
      <c r="I980" s="1" t="s">
        <v>28</v>
      </c>
      <c r="J980" s="1" t="s">
        <v>31</v>
      </c>
      <c r="K980">
        <v>40</v>
      </c>
    </row>
    <row r="981" spans="1:11" x14ac:dyDescent="0.25">
      <c r="A981" s="18" t="str">
        <f xml:space="preserve">  MapNameLkup</f>
        <v>m_ofs_trex_ar_invoices</v>
      </c>
      <c r="B981" s="1" t="s">
        <v>103</v>
      </c>
      <c r="C981" s="1" t="s">
        <v>105</v>
      </c>
      <c r="D981" s="1" t="s">
        <v>1</v>
      </c>
      <c r="E981" s="1" t="s">
        <v>107</v>
      </c>
      <c r="F981">
        <v>1</v>
      </c>
      <c r="G981" s="1"/>
      <c r="H981" s="1" t="s">
        <v>431</v>
      </c>
      <c r="I981" s="1" t="s">
        <v>28</v>
      </c>
      <c r="J981" s="1" t="s">
        <v>31</v>
      </c>
      <c r="K981">
        <v>41</v>
      </c>
    </row>
    <row r="982" spans="1:11" x14ac:dyDescent="0.25">
      <c r="A982" s="18" t="str">
        <f xml:space="preserve">  MapNameLkup</f>
        <v>m_ofs_trex_ar_invoices</v>
      </c>
      <c r="B982" s="1" t="s">
        <v>103</v>
      </c>
      <c r="C982" s="1" t="s">
        <v>105</v>
      </c>
      <c r="D982" s="1" t="s">
        <v>1</v>
      </c>
      <c r="E982" s="1" t="s">
        <v>107</v>
      </c>
      <c r="F982">
        <v>1</v>
      </c>
      <c r="G982" s="1"/>
      <c r="H982" s="1" t="s">
        <v>207</v>
      </c>
      <c r="I982" s="1" t="s">
        <v>28</v>
      </c>
      <c r="J982" s="1" t="s">
        <v>31</v>
      </c>
      <c r="K982">
        <v>42</v>
      </c>
    </row>
    <row r="983" spans="1:11" x14ac:dyDescent="0.25">
      <c r="A983" s="18" t="str">
        <f xml:space="preserve">  MapNameLkup</f>
        <v>m_ofs_trex_ar_invoices</v>
      </c>
      <c r="B983" s="1" t="s">
        <v>103</v>
      </c>
      <c r="C983" s="1" t="s">
        <v>105</v>
      </c>
      <c r="D983" s="1" t="s">
        <v>1</v>
      </c>
      <c r="E983" s="1" t="s">
        <v>107</v>
      </c>
      <c r="F983">
        <v>1</v>
      </c>
      <c r="G983" s="1"/>
      <c r="H983" s="1" t="s">
        <v>208</v>
      </c>
      <c r="I983" s="1" t="s">
        <v>28</v>
      </c>
      <c r="J983" s="1" t="s">
        <v>31</v>
      </c>
      <c r="K983">
        <v>43</v>
      </c>
    </row>
    <row r="984" spans="1:11" x14ac:dyDescent="0.25">
      <c r="A984" s="18" t="str">
        <f xml:space="preserve">  MapNameLkup</f>
        <v>m_ofs_trex_ar_invoices</v>
      </c>
      <c r="B984" s="1" t="s">
        <v>103</v>
      </c>
      <c r="C984" s="1" t="s">
        <v>105</v>
      </c>
      <c r="D984" s="1" t="s">
        <v>1</v>
      </c>
      <c r="E984" s="1" t="s">
        <v>107</v>
      </c>
      <c r="F984">
        <v>1</v>
      </c>
      <c r="G984" s="1"/>
      <c r="H984" s="1" t="s">
        <v>209</v>
      </c>
      <c r="I984" s="1" t="s">
        <v>28</v>
      </c>
      <c r="J984" s="1" t="s">
        <v>31</v>
      </c>
      <c r="K984">
        <v>44</v>
      </c>
    </row>
    <row r="985" spans="1:11" x14ac:dyDescent="0.25">
      <c r="A985" s="18" t="str">
        <f xml:space="preserve">  MapNameLkup</f>
        <v>m_ofs_trex_ar_invoices</v>
      </c>
      <c r="B985" s="1" t="s">
        <v>103</v>
      </c>
      <c r="C985" s="1" t="s">
        <v>105</v>
      </c>
      <c r="D985" s="1" t="s">
        <v>1</v>
      </c>
      <c r="E985" s="1" t="s">
        <v>107</v>
      </c>
      <c r="F985">
        <v>1</v>
      </c>
      <c r="G985" s="1"/>
      <c r="H985" s="1" t="s">
        <v>210</v>
      </c>
      <c r="I985" s="1" t="s">
        <v>28</v>
      </c>
      <c r="J985" s="1" t="s">
        <v>31</v>
      </c>
      <c r="K985">
        <v>45</v>
      </c>
    </row>
    <row r="986" spans="1:11" x14ac:dyDescent="0.25">
      <c r="A986" s="18" t="str">
        <f xml:space="preserve">  MapNameLkup</f>
        <v>m_ofs_trex_ar_invoices</v>
      </c>
      <c r="B986" s="1" t="s">
        <v>103</v>
      </c>
      <c r="C986" s="1" t="s">
        <v>105</v>
      </c>
      <c r="D986" s="1" t="s">
        <v>1</v>
      </c>
      <c r="E986" s="1" t="s">
        <v>107</v>
      </c>
      <c r="F986">
        <v>1</v>
      </c>
      <c r="G986" s="1"/>
      <c r="H986" s="1" t="s">
        <v>211</v>
      </c>
      <c r="I986" s="1" t="s">
        <v>28</v>
      </c>
      <c r="J986" s="1" t="s">
        <v>31</v>
      </c>
      <c r="K986">
        <v>46</v>
      </c>
    </row>
    <row r="987" spans="1:11" x14ac:dyDescent="0.25">
      <c r="A987" s="18" t="str">
        <f xml:space="preserve">  MapNameLkup</f>
        <v>m_ofs_trex_ar_invoices</v>
      </c>
      <c r="B987" s="1" t="s">
        <v>103</v>
      </c>
      <c r="C987" s="1" t="s">
        <v>105</v>
      </c>
      <c r="D987" s="1" t="s">
        <v>1</v>
      </c>
      <c r="E987" s="1" t="s">
        <v>107</v>
      </c>
      <c r="F987">
        <v>1</v>
      </c>
      <c r="G987" s="1"/>
      <c r="H987" s="1" t="s">
        <v>742</v>
      </c>
      <c r="I987" s="1" t="s">
        <v>28</v>
      </c>
      <c r="J987" s="1" t="s">
        <v>31</v>
      </c>
      <c r="K987">
        <v>47</v>
      </c>
    </row>
    <row r="988" spans="1:11" x14ac:dyDescent="0.25">
      <c r="A988" s="18" t="str">
        <f xml:space="preserve">  MapNameLkup</f>
        <v>m_ofs_trex_ar_invoices</v>
      </c>
      <c r="B988" s="1" t="s">
        <v>103</v>
      </c>
      <c r="C988" s="1" t="s">
        <v>105</v>
      </c>
      <c r="D988" s="1" t="s">
        <v>1</v>
      </c>
      <c r="E988" s="1" t="s">
        <v>107</v>
      </c>
      <c r="F988">
        <v>1</v>
      </c>
      <c r="G988" s="1"/>
      <c r="H988" s="1" t="s">
        <v>159</v>
      </c>
      <c r="I988" s="1" t="s">
        <v>28</v>
      </c>
      <c r="J988" s="1" t="s">
        <v>31</v>
      </c>
      <c r="K988">
        <v>48</v>
      </c>
    </row>
    <row r="989" spans="1:11" x14ac:dyDescent="0.25">
      <c r="A989" s="18" t="str">
        <f xml:space="preserve">  MapNameLkup</f>
        <v>m_ofs_trex_ar_invoices</v>
      </c>
      <c r="B989" s="1" t="s">
        <v>103</v>
      </c>
      <c r="C989" s="1" t="s">
        <v>105</v>
      </c>
      <c r="D989" s="1" t="s">
        <v>1</v>
      </c>
      <c r="E989" s="1" t="s">
        <v>107</v>
      </c>
      <c r="F989">
        <v>1</v>
      </c>
      <c r="G989" s="1"/>
      <c r="H989" s="1" t="s">
        <v>743</v>
      </c>
      <c r="I989" s="1" t="s">
        <v>28</v>
      </c>
      <c r="J989" s="1" t="s">
        <v>31</v>
      </c>
      <c r="K989">
        <v>49</v>
      </c>
    </row>
    <row r="990" spans="1:11" x14ac:dyDescent="0.25">
      <c r="A990" s="18" t="str">
        <f xml:space="preserve">  MapNameLkup</f>
        <v>m_ofs_trex_ar_invoices</v>
      </c>
      <c r="B990" s="1" t="s">
        <v>103</v>
      </c>
      <c r="C990" s="1" t="s">
        <v>105</v>
      </c>
      <c r="D990" s="1" t="s">
        <v>1</v>
      </c>
      <c r="E990" s="1" t="s">
        <v>107</v>
      </c>
      <c r="F990">
        <v>1</v>
      </c>
      <c r="G990" s="1"/>
      <c r="H990" s="1" t="s">
        <v>390</v>
      </c>
      <c r="I990" s="1" t="s">
        <v>28</v>
      </c>
      <c r="J990" s="1" t="s">
        <v>31</v>
      </c>
      <c r="K990">
        <v>50</v>
      </c>
    </row>
    <row r="991" spans="1:11" x14ac:dyDescent="0.25">
      <c r="A991" s="18" t="str">
        <f xml:space="preserve">  MapNameLkup</f>
        <v>m_ofs_trex_ar_invoices</v>
      </c>
      <c r="B991" s="1" t="s">
        <v>103</v>
      </c>
      <c r="C991" s="1" t="s">
        <v>105</v>
      </c>
      <c r="D991" s="1" t="s">
        <v>1</v>
      </c>
      <c r="E991" s="1" t="s">
        <v>107</v>
      </c>
      <c r="F991">
        <v>1</v>
      </c>
      <c r="G991" s="1"/>
      <c r="H991" s="1" t="s">
        <v>744</v>
      </c>
      <c r="I991" s="1" t="s">
        <v>28</v>
      </c>
      <c r="J991" s="1" t="s">
        <v>31</v>
      </c>
      <c r="K991">
        <v>51</v>
      </c>
    </row>
    <row r="992" spans="1:11" x14ac:dyDescent="0.25">
      <c r="A992" s="18" t="str">
        <f xml:space="preserve">  MapNameLkup</f>
        <v>m_ofs_trex_ar_invoices</v>
      </c>
      <c r="B992" s="1" t="s">
        <v>103</v>
      </c>
      <c r="C992" s="1" t="s">
        <v>105</v>
      </c>
      <c r="D992" s="1" t="s">
        <v>1</v>
      </c>
      <c r="E992" s="1" t="s">
        <v>107</v>
      </c>
      <c r="F992">
        <v>1</v>
      </c>
      <c r="G992" s="1"/>
      <c r="H992" s="1" t="s">
        <v>457</v>
      </c>
      <c r="I992" s="1" t="s">
        <v>28</v>
      </c>
      <c r="J992" s="1" t="s">
        <v>31</v>
      </c>
      <c r="K992">
        <v>52</v>
      </c>
    </row>
    <row r="993" spans="1:11" x14ac:dyDescent="0.25">
      <c r="A993" s="18" t="str">
        <f xml:space="preserve">  MapNameLkup</f>
        <v>m_ofs_trex_ar_invoices</v>
      </c>
      <c r="B993" s="1" t="s">
        <v>103</v>
      </c>
      <c r="C993" s="1" t="s">
        <v>105</v>
      </c>
      <c r="D993" s="1" t="s">
        <v>1</v>
      </c>
      <c r="E993" s="1" t="s">
        <v>107</v>
      </c>
      <c r="F993">
        <v>1</v>
      </c>
      <c r="G993" s="1"/>
      <c r="H993" s="1" t="s">
        <v>458</v>
      </c>
      <c r="I993" s="1" t="s">
        <v>28</v>
      </c>
      <c r="J993" s="1" t="s">
        <v>31</v>
      </c>
      <c r="K993">
        <v>53</v>
      </c>
    </row>
    <row r="994" spans="1:11" x14ac:dyDescent="0.25">
      <c r="A994" s="18" t="str">
        <f xml:space="preserve">  MapNameLkup</f>
        <v>m_ofs_trex_ar_invoices</v>
      </c>
      <c r="B994" s="1" t="s">
        <v>103</v>
      </c>
      <c r="C994" s="1" t="s">
        <v>105</v>
      </c>
      <c r="D994" s="1" t="s">
        <v>1</v>
      </c>
      <c r="E994" s="1" t="s">
        <v>107</v>
      </c>
      <c r="F994">
        <v>1</v>
      </c>
      <c r="G994" s="1"/>
      <c r="H994" s="1" t="s">
        <v>745</v>
      </c>
      <c r="I994" s="1" t="s">
        <v>28</v>
      </c>
      <c r="J994" s="1" t="s">
        <v>31</v>
      </c>
      <c r="K994">
        <v>54</v>
      </c>
    </row>
    <row r="995" spans="1:11" x14ac:dyDescent="0.25">
      <c r="A995" s="18" t="str">
        <f xml:space="preserve">  MapNameLkup</f>
        <v>m_ofs_trex_ar_invoices</v>
      </c>
      <c r="B995" s="1" t="s">
        <v>103</v>
      </c>
      <c r="C995" s="1" t="s">
        <v>105</v>
      </c>
      <c r="D995" s="1" t="s">
        <v>1</v>
      </c>
      <c r="E995" s="1" t="s">
        <v>107</v>
      </c>
      <c r="F995">
        <v>1</v>
      </c>
      <c r="G995" s="1"/>
      <c r="H995" s="1" t="s">
        <v>746</v>
      </c>
      <c r="I995" s="1" t="s">
        <v>28</v>
      </c>
      <c r="J995" s="1" t="s">
        <v>31</v>
      </c>
      <c r="K995">
        <v>55</v>
      </c>
    </row>
    <row r="996" spans="1:11" x14ac:dyDescent="0.25">
      <c r="A996" s="18" t="str">
        <f xml:space="preserve">  MapNameLkup</f>
        <v>m_ofs_trex_ar_invoices</v>
      </c>
      <c r="B996" s="1" t="s">
        <v>103</v>
      </c>
      <c r="C996" s="1" t="s">
        <v>105</v>
      </c>
      <c r="D996" s="1" t="s">
        <v>1</v>
      </c>
      <c r="E996" s="1" t="s">
        <v>107</v>
      </c>
      <c r="F996">
        <v>1</v>
      </c>
      <c r="G996" s="1"/>
      <c r="H996" s="1" t="s">
        <v>747</v>
      </c>
      <c r="I996" s="1" t="s">
        <v>28</v>
      </c>
      <c r="J996" s="1" t="s">
        <v>31</v>
      </c>
      <c r="K996">
        <v>56</v>
      </c>
    </row>
    <row r="997" spans="1:11" x14ac:dyDescent="0.25">
      <c r="A997" s="18" t="str">
        <f xml:space="preserve">  MapNameLkup</f>
        <v>m_ofs_trex_ar_invoices</v>
      </c>
      <c r="B997" s="1" t="s">
        <v>103</v>
      </c>
      <c r="C997" s="1" t="s">
        <v>105</v>
      </c>
      <c r="D997" s="1" t="s">
        <v>1</v>
      </c>
      <c r="E997" s="1" t="s">
        <v>107</v>
      </c>
      <c r="F997">
        <v>1</v>
      </c>
      <c r="G997" s="1"/>
      <c r="H997" s="1" t="s">
        <v>748</v>
      </c>
      <c r="I997" s="1" t="s">
        <v>28</v>
      </c>
      <c r="J997" s="1" t="s">
        <v>31</v>
      </c>
      <c r="K997">
        <v>57</v>
      </c>
    </row>
    <row r="998" spans="1:11" x14ac:dyDescent="0.25">
      <c r="A998" s="18" t="str">
        <f xml:space="preserve">  MapNameLkup</f>
        <v>m_ofs_trex_ar_invoices</v>
      </c>
      <c r="B998" s="1" t="s">
        <v>103</v>
      </c>
      <c r="C998" s="1" t="s">
        <v>105</v>
      </c>
      <c r="D998" s="1" t="s">
        <v>1</v>
      </c>
      <c r="E998" s="1" t="s">
        <v>107</v>
      </c>
      <c r="F998">
        <v>1</v>
      </c>
      <c r="G998" s="1"/>
      <c r="H998" s="1" t="s">
        <v>749</v>
      </c>
      <c r="I998" s="1" t="s">
        <v>28</v>
      </c>
      <c r="J998" s="1" t="s">
        <v>31</v>
      </c>
      <c r="K998">
        <v>58</v>
      </c>
    </row>
    <row r="999" spans="1:11" x14ac:dyDescent="0.25">
      <c r="A999" s="18" t="str">
        <f xml:space="preserve">  MapNameLkup</f>
        <v>m_ofs_trex_ar_invoices</v>
      </c>
      <c r="B999" s="1" t="s">
        <v>103</v>
      </c>
      <c r="C999" s="1" t="s">
        <v>105</v>
      </c>
      <c r="D999" s="1" t="s">
        <v>1</v>
      </c>
      <c r="E999" s="1" t="s">
        <v>107</v>
      </c>
      <c r="F999">
        <v>1</v>
      </c>
      <c r="G999" s="1"/>
      <c r="H999" s="1" t="s">
        <v>750</v>
      </c>
      <c r="I999" s="1" t="s">
        <v>28</v>
      </c>
      <c r="J999" s="1" t="s">
        <v>31</v>
      </c>
      <c r="K999">
        <v>59</v>
      </c>
    </row>
    <row r="1000" spans="1:11" x14ac:dyDescent="0.25">
      <c r="A1000" s="18" t="str">
        <f xml:space="preserve">  MapNameLkup</f>
        <v>m_ofs_trex_ar_invoices</v>
      </c>
      <c r="B1000" s="1" t="s">
        <v>103</v>
      </c>
      <c r="C1000" s="1" t="s">
        <v>105</v>
      </c>
      <c r="D1000" s="1" t="s">
        <v>1</v>
      </c>
      <c r="E1000" s="1" t="s">
        <v>107</v>
      </c>
      <c r="F1000">
        <v>1</v>
      </c>
      <c r="G1000" s="1"/>
      <c r="H1000" s="1" t="s">
        <v>751</v>
      </c>
      <c r="I1000" s="1" t="s">
        <v>28</v>
      </c>
      <c r="J1000" s="1" t="s">
        <v>31</v>
      </c>
      <c r="K1000">
        <v>60</v>
      </c>
    </row>
    <row r="1001" spans="1:11" x14ac:dyDescent="0.25">
      <c r="A1001" s="18" t="str">
        <f xml:space="preserve">  MapNameLkup</f>
        <v>m_ofs_trex_ar_invoices</v>
      </c>
      <c r="B1001" s="1" t="s">
        <v>104</v>
      </c>
      <c r="C1001" s="1" t="s">
        <v>105</v>
      </c>
      <c r="D1001" s="1" t="s">
        <v>1</v>
      </c>
      <c r="E1001" s="1" t="s">
        <v>107</v>
      </c>
      <c r="F1001">
        <v>1</v>
      </c>
      <c r="G1001" s="1"/>
      <c r="H1001" s="1" t="s">
        <v>752</v>
      </c>
      <c r="I1001" s="1" t="s">
        <v>29</v>
      </c>
      <c r="J1001" s="1" t="s">
        <v>32</v>
      </c>
      <c r="K1001">
        <v>1</v>
      </c>
    </row>
    <row r="1002" spans="1:11" x14ac:dyDescent="0.25">
      <c r="A1002" s="18" t="str">
        <f xml:space="preserve">  MapNameLkup</f>
        <v>m_ofs_trex_ar_invoices</v>
      </c>
      <c r="B1002" s="1" t="s">
        <v>104</v>
      </c>
      <c r="C1002" s="1" t="s">
        <v>105</v>
      </c>
      <c r="D1002" s="1" t="s">
        <v>1</v>
      </c>
      <c r="E1002" s="1" t="s">
        <v>107</v>
      </c>
      <c r="F1002">
        <v>1</v>
      </c>
      <c r="G1002" s="1"/>
      <c r="H1002" s="1" t="s">
        <v>753</v>
      </c>
      <c r="I1002" s="1" t="s">
        <v>28</v>
      </c>
      <c r="J1002" s="1" t="s">
        <v>32</v>
      </c>
      <c r="K1002">
        <v>2</v>
      </c>
    </row>
    <row r="1003" spans="1:11" x14ac:dyDescent="0.25">
      <c r="A1003" s="18" t="str">
        <f xml:space="preserve">  MapNameLkup</f>
        <v>m_ofs_trex_ar_invoices</v>
      </c>
      <c r="B1003" s="1" t="s">
        <v>104</v>
      </c>
      <c r="C1003" s="1" t="s">
        <v>105</v>
      </c>
      <c r="D1003" s="1" t="s">
        <v>1</v>
      </c>
      <c r="E1003" s="1" t="s">
        <v>107</v>
      </c>
      <c r="F1003">
        <v>1</v>
      </c>
      <c r="G1003" s="1"/>
      <c r="H1003" s="1" t="s">
        <v>754</v>
      </c>
      <c r="I1003" s="1" t="s">
        <v>28</v>
      </c>
      <c r="J1003" s="1" t="s">
        <v>32</v>
      </c>
      <c r="K1003">
        <v>3</v>
      </c>
    </row>
    <row r="1004" spans="1:11" x14ac:dyDescent="0.25">
      <c r="A1004" s="18" t="str">
        <f xml:space="preserve">  MapNameLkup</f>
        <v>m_ofs_trex_ar_invoices</v>
      </c>
      <c r="B1004" s="1" t="s">
        <v>104</v>
      </c>
      <c r="C1004" s="1" t="s">
        <v>105</v>
      </c>
      <c r="D1004" s="1" t="s">
        <v>1</v>
      </c>
      <c r="E1004" s="1" t="s">
        <v>107</v>
      </c>
      <c r="F1004">
        <v>1</v>
      </c>
      <c r="G1004" s="1"/>
      <c r="H1004" s="1" t="s">
        <v>755</v>
      </c>
      <c r="I1004" s="1" t="s">
        <v>28</v>
      </c>
      <c r="J1004" s="1" t="s">
        <v>32</v>
      </c>
      <c r="K1004">
        <v>4</v>
      </c>
    </row>
    <row r="1005" spans="1:11" x14ac:dyDescent="0.25">
      <c r="A1005" s="18" t="str">
        <f xml:space="preserve">  MapNameLkup</f>
        <v>m_ofs_trex_ar_invoices</v>
      </c>
      <c r="B1005" s="1" t="s">
        <v>104</v>
      </c>
      <c r="C1005" s="1" t="s">
        <v>105</v>
      </c>
      <c r="D1005" s="1" t="s">
        <v>1</v>
      </c>
      <c r="E1005" s="1" t="s">
        <v>107</v>
      </c>
      <c r="F1005">
        <v>1</v>
      </c>
      <c r="G1005" s="1"/>
      <c r="H1005" s="1" t="s">
        <v>756</v>
      </c>
      <c r="I1005" s="1" t="s">
        <v>28</v>
      </c>
      <c r="J1005" s="1" t="s">
        <v>31</v>
      </c>
      <c r="K1005">
        <v>5</v>
      </c>
    </row>
    <row r="1006" spans="1:11" x14ac:dyDescent="0.25">
      <c r="A1006" s="18" t="str">
        <f xml:space="preserve">  MapNameLkup</f>
        <v>m_ofs_trex_ar_invoices</v>
      </c>
      <c r="B1006" s="1" t="s">
        <v>104</v>
      </c>
      <c r="C1006" s="1" t="s">
        <v>105</v>
      </c>
      <c r="D1006" s="1" t="s">
        <v>1</v>
      </c>
      <c r="E1006" s="1" t="s">
        <v>107</v>
      </c>
      <c r="F1006">
        <v>1</v>
      </c>
      <c r="G1006" s="1"/>
      <c r="H1006" s="1" t="s">
        <v>155</v>
      </c>
      <c r="I1006" s="1" t="s">
        <v>28</v>
      </c>
      <c r="J1006" s="1" t="s">
        <v>32</v>
      </c>
      <c r="K1006">
        <v>6</v>
      </c>
    </row>
    <row r="1007" spans="1:11" x14ac:dyDescent="0.25">
      <c r="A1007" s="18" t="str">
        <f xml:space="preserve">  MapNameLkup</f>
        <v>m_ofs_trex_ar_invoices</v>
      </c>
      <c r="B1007" s="1" t="s">
        <v>104</v>
      </c>
      <c r="C1007" s="1" t="s">
        <v>105</v>
      </c>
      <c r="D1007" s="1" t="s">
        <v>1</v>
      </c>
      <c r="E1007" s="1" t="s">
        <v>107</v>
      </c>
      <c r="F1007">
        <v>1</v>
      </c>
      <c r="G1007" s="1"/>
      <c r="H1007" s="1" t="s">
        <v>156</v>
      </c>
      <c r="I1007" s="1" t="s">
        <v>28</v>
      </c>
      <c r="J1007" s="1" t="s">
        <v>32</v>
      </c>
      <c r="K1007">
        <v>7</v>
      </c>
    </row>
    <row r="1008" spans="1:11" x14ac:dyDescent="0.25">
      <c r="A1008" s="18" t="str">
        <f xml:space="preserve">  MapNameLkup</f>
        <v>m_ofs_trex_ar_invoices</v>
      </c>
      <c r="B1008" s="1" t="s">
        <v>104</v>
      </c>
      <c r="C1008" s="1" t="s">
        <v>105</v>
      </c>
      <c r="D1008" s="1" t="s">
        <v>1</v>
      </c>
      <c r="E1008" s="1" t="s">
        <v>107</v>
      </c>
      <c r="F1008">
        <v>1</v>
      </c>
      <c r="G1008" s="1"/>
      <c r="H1008" s="1" t="s">
        <v>158</v>
      </c>
      <c r="I1008" s="1" t="s">
        <v>28</v>
      </c>
      <c r="J1008" s="1" t="s">
        <v>31</v>
      </c>
      <c r="K1008">
        <v>8</v>
      </c>
    </row>
    <row r="1009" spans="1:11" x14ac:dyDescent="0.25">
      <c r="A1009" s="18" t="str">
        <f xml:space="preserve">  MapNameLkup</f>
        <v>m_ofs_trex_ar_invoices</v>
      </c>
      <c r="B1009" s="1" t="s">
        <v>104</v>
      </c>
      <c r="C1009" s="1" t="s">
        <v>105</v>
      </c>
      <c r="D1009" s="1" t="s">
        <v>1</v>
      </c>
      <c r="E1009" s="1" t="s">
        <v>107</v>
      </c>
      <c r="F1009">
        <v>1</v>
      </c>
      <c r="G1009" s="1"/>
      <c r="H1009" s="1" t="s">
        <v>382</v>
      </c>
      <c r="I1009" s="1" t="s">
        <v>28</v>
      </c>
      <c r="J1009" s="1" t="s">
        <v>31</v>
      </c>
      <c r="K1009">
        <v>9</v>
      </c>
    </row>
    <row r="1010" spans="1:11" x14ac:dyDescent="0.25">
      <c r="A1010" s="18" t="str">
        <f xml:space="preserve">  MapNameLkup</f>
        <v>m_ofs_trex_ar_invoices</v>
      </c>
      <c r="B1010" s="1" t="s">
        <v>104</v>
      </c>
      <c r="C1010" s="1" t="s">
        <v>105</v>
      </c>
      <c r="D1010" s="1" t="s">
        <v>1</v>
      </c>
      <c r="E1010" s="1" t="s">
        <v>107</v>
      </c>
      <c r="F1010">
        <v>1</v>
      </c>
      <c r="G1010" s="1"/>
      <c r="H1010" s="1" t="s">
        <v>378</v>
      </c>
      <c r="I1010" s="1" t="s">
        <v>28</v>
      </c>
      <c r="J1010" s="1" t="s">
        <v>31</v>
      </c>
      <c r="K1010">
        <v>10</v>
      </c>
    </row>
    <row r="1011" spans="1:11" x14ac:dyDescent="0.25">
      <c r="A1011" s="18" t="str">
        <f xml:space="preserve">  MapNameLkup</f>
        <v>m_ofs_trex_ar_invoices</v>
      </c>
      <c r="B1011" s="1" t="s">
        <v>104</v>
      </c>
      <c r="C1011" s="1" t="s">
        <v>105</v>
      </c>
      <c r="D1011" s="1" t="s">
        <v>1</v>
      </c>
      <c r="E1011" s="1" t="s">
        <v>107</v>
      </c>
      <c r="F1011">
        <v>1</v>
      </c>
      <c r="G1011" s="1"/>
      <c r="H1011" s="1" t="s">
        <v>157</v>
      </c>
      <c r="I1011" s="1" t="s">
        <v>28</v>
      </c>
      <c r="J1011" s="1" t="s">
        <v>32</v>
      </c>
      <c r="K1011">
        <v>11</v>
      </c>
    </row>
    <row r="1012" spans="1:11" x14ac:dyDescent="0.25">
      <c r="A1012" s="18" t="str">
        <f xml:space="preserve">  MapNameLkup</f>
        <v>m_ofs_trex_ar_invoices</v>
      </c>
      <c r="B1012" s="1" t="s">
        <v>104</v>
      </c>
      <c r="C1012" s="1" t="s">
        <v>105</v>
      </c>
      <c r="D1012" s="1" t="s">
        <v>1</v>
      </c>
      <c r="E1012" s="1" t="s">
        <v>107</v>
      </c>
      <c r="F1012">
        <v>1</v>
      </c>
      <c r="G1012" s="1"/>
      <c r="H1012" s="1" t="s">
        <v>154</v>
      </c>
      <c r="I1012" s="1" t="s">
        <v>28</v>
      </c>
      <c r="J1012" s="1" t="s">
        <v>32</v>
      </c>
      <c r="K1012">
        <v>12</v>
      </c>
    </row>
    <row r="1013" spans="1:11" x14ac:dyDescent="0.25">
      <c r="A1013" s="18" t="str">
        <f xml:space="preserve">  MapNameLkup</f>
        <v>m_ofs_trex_ar_invoices</v>
      </c>
      <c r="B1013" s="1" t="s">
        <v>104</v>
      </c>
      <c r="C1013" s="1" t="s">
        <v>105</v>
      </c>
      <c r="D1013" s="1" t="s">
        <v>1</v>
      </c>
      <c r="E1013" s="1" t="s">
        <v>107</v>
      </c>
      <c r="F1013">
        <v>1</v>
      </c>
      <c r="G1013" s="1"/>
      <c r="H1013" s="1" t="s">
        <v>379</v>
      </c>
      <c r="I1013" s="1" t="s">
        <v>28</v>
      </c>
      <c r="J1013" s="1" t="s">
        <v>31</v>
      </c>
      <c r="K1013">
        <v>13</v>
      </c>
    </row>
    <row r="1014" spans="1:11" x14ac:dyDescent="0.25">
      <c r="A1014" s="18" t="str">
        <f xml:space="preserve">  MapNameLkup</f>
        <v>m_ofs_trex_ar_invoices</v>
      </c>
      <c r="B1014" s="1" t="s">
        <v>104</v>
      </c>
      <c r="C1014" s="1" t="s">
        <v>105</v>
      </c>
      <c r="D1014" s="1" t="s">
        <v>1</v>
      </c>
      <c r="E1014" s="1" t="s">
        <v>107</v>
      </c>
      <c r="F1014">
        <v>1</v>
      </c>
      <c r="G1014" s="1"/>
      <c r="H1014" s="1" t="s">
        <v>380</v>
      </c>
      <c r="I1014" s="1" t="s">
        <v>28</v>
      </c>
      <c r="J1014" s="1" t="s">
        <v>31</v>
      </c>
      <c r="K1014">
        <v>14</v>
      </c>
    </row>
    <row r="1015" spans="1:11" x14ac:dyDescent="0.25">
      <c r="A1015" s="18" t="str">
        <f xml:space="preserve">  MapNameLkup</f>
        <v>m_ofs_trex_ar_invoices</v>
      </c>
      <c r="B1015" s="1" t="s">
        <v>104</v>
      </c>
      <c r="C1015" s="1" t="s">
        <v>105</v>
      </c>
      <c r="D1015" s="1" t="s">
        <v>1</v>
      </c>
      <c r="E1015" s="1" t="s">
        <v>107</v>
      </c>
      <c r="F1015">
        <v>1</v>
      </c>
      <c r="G1015" s="1"/>
      <c r="H1015" s="1" t="s">
        <v>696</v>
      </c>
      <c r="I1015" s="1" t="s">
        <v>28</v>
      </c>
      <c r="J1015" s="1" t="s">
        <v>31</v>
      </c>
      <c r="K1015">
        <v>15</v>
      </c>
    </row>
    <row r="1016" spans="1:11" x14ac:dyDescent="0.25">
      <c r="A1016" s="18" t="str">
        <f xml:space="preserve">  MapNameLkup</f>
        <v>m_ofs_trex_ar_invoices</v>
      </c>
      <c r="B1016" s="1" t="s">
        <v>104</v>
      </c>
      <c r="C1016" s="1" t="s">
        <v>105</v>
      </c>
      <c r="D1016" s="1" t="s">
        <v>1</v>
      </c>
      <c r="E1016" s="1" t="s">
        <v>107</v>
      </c>
      <c r="F1016">
        <v>1</v>
      </c>
      <c r="G1016" s="1"/>
      <c r="H1016" s="1" t="s">
        <v>163</v>
      </c>
      <c r="I1016" s="1" t="s">
        <v>28</v>
      </c>
      <c r="J1016" s="1" t="s">
        <v>31</v>
      </c>
      <c r="K1016">
        <v>16</v>
      </c>
    </row>
    <row r="1017" spans="1:11" x14ac:dyDescent="0.25">
      <c r="A1017" s="18" t="str">
        <f xml:space="preserve">  MapNameLkup</f>
        <v>m_ofs_trex_ar_invoices</v>
      </c>
      <c r="B1017" s="1" t="s">
        <v>104</v>
      </c>
      <c r="C1017" s="1" t="s">
        <v>105</v>
      </c>
      <c r="D1017" s="1" t="s">
        <v>1</v>
      </c>
      <c r="E1017" s="1" t="s">
        <v>107</v>
      </c>
      <c r="F1017">
        <v>1</v>
      </c>
      <c r="G1017" s="1"/>
      <c r="H1017" s="1" t="s">
        <v>164</v>
      </c>
      <c r="I1017" s="1" t="s">
        <v>28</v>
      </c>
      <c r="J1017" s="1" t="s">
        <v>31</v>
      </c>
      <c r="K1017">
        <v>17</v>
      </c>
    </row>
    <row r="1018" spans="1:11" x14ac:dyDescent="0.25">
      <c r="A1018" s="18" t="str">
        <f xml:space="preserve">  MapNameLkup</f>
        <v>m_ofs_trex_ar_invoices</v>
      </c>
      <c r="B1018" s="1" t="s">
        <v>104</v>
      </c>
      <c r="C1018" s="1" t="s">
        <v>105</v>
      </c>
      <c r="D1018" s="1" t="s">
        <v>1</v>
      </c>
      <c r="E1018" s="1" t="s">
        <v>107</v>
      </c>
      <c r="F1018">
        <v>1</v>
      </c>
      <c r="G1018" s="1"/>
      <c r="H1018" s="1" t="s">
        <v>165</v>
      </c>
      <c r="I1018" s="1" t="s">
        <v>28</v>
      </c>
      <c r="J1018" s="1" t="s">
        <v>31</v>
      </c>
      <c r="K1018">
        <v>18</v>
      </c>
    </row>
    <row r="1019" spans="1:11" x14ac:dyDescent="0.25">
      <c r="A1019" s="18" t="str">
        <f xml:space="preserve">  MapNameLkup</f>
        <v>m_ofs_trex_ar_invoices</v>
      </c>
      <c r="B1019" s="1" t="s">
        <v>104</v>
      </c>
      <c r="C1019" s="1" t="s">
        <v>105</v>
      </c>
      <c r="D1019" s="1" t="s">
        <v>1</v>
      </c>
      <c r="E1019" s="1" t="s">
        <v>107</v>
      </c>
      <c r="F1019">
        <v>1</v>
      </c>
      <c r="G1019" s="1"/>
      <c r="H1019" s="1" t="s">
        <v>166</v>
      </c>
      <c r="I1019" s="1" t="s">
        <v>28</v>
      </c>
      <c r="J1019" s="1" t="s">
        <v>31</v>
      </c>
      <c r="K1019">
        <v>19</v>
      </c>
    </row>
    <row r="1020" spans="1:11" x14ac:dyDescent="0.25">
      <c r="A1020" s="18" t="str">
        <f xml:space="preserve">  MapNameLkup</f>
        <v>m_ofs_trex_ar_invoices</v>
      </c>
      <c r="B1020" s="1" t="s">
        <v>104</v>
      </c>
      <c r="C1020" s="1" t="s">
        <v>105</v>
      </c>
      <c r="D1020" s="1" t="s">
        <v>1</v>
      </c>
      <c r="E1020" s="1" t="s">
        <v>107</v>
      </c>
      <c r="F1020">
        <v>1</v>
      </c>
      <c r="G1020" s="1"/>
      <c r="H1020" s="1" t="s">
        <v>167</v>
      </c>
      <c r="I1020" s="1" t="s">
        <v>28</v>
      </c>
      <c r="J1020" s="1" t="s">
        <v>31</v>
      </c>
      <c r="K1020">
        <v>20</v>
      </c>
    </row>
    <row r="1021" spans="1:11" x14ac:dyDescent="0.25">
      <c r="A1021" s="18" t="str">
        <f xml:space="preserve">  MapNameLkup</f>
        <v>m_ofs_trex_ar_invoices</v>
      </c>
      <c r="B1021" s="1" t="s">
        <v>104</v>
      </c>
      <c r="C1021" s="1" t="s">
        <v>105</v>
      </c>
      <c r="D1021" s="1" t="s">
        <v>1</v>
      </c>
      <c r="E1021" s="1" t="s">
        <v>107</v>
      </c>
      <c r="F1021">
        <v>1</v>
      </c>
      <c r="G1021" s="1"/>
      <c r="H1021" s="1" t="s">
        <v>168</v>
      </c>
      <c r="I1021" s="1" t="s">
        <v>28</v>
      </c>
      <c r="J1021" s="1" t="s">
        <v>31</v>
      </c>
      <c r="K1021">
        <v>21</v>
      </c>
    </row>
    <row r="1022" spans="1:11" x14ac:dyDescent="0.25">
      <c r="A1022" s="18" t="str">
        <f xml:space="preserve">  MapNameLkup</f>
        <v>m_ofs_trex_ar_invoices</v>
      </c>
      <c r="B1022" s="1" t="s">
        <v>104</v>
      </c>
      <c r="C1022" s="1" t="s">
        <v>105</v>
      </c>
      <c r="D1022" s="1" t="s">
        <v>1</v>
      </c>
      <c r="E1022" s="1" t="s">
        <v>107</v>
      </c>
      <c r="F1022">
        <v>1</v>
      </c>
      <c r="G1022" s="1"/>
      <c r="H1022" s="1" t="s">
        <v>169</v>
      </c>
      <c r="I1022" s="1" t="s">
        <v>28</v>
      </c>
      <c r="J1022" s="1" t="s">
        <v>31</v>
      </c>
      <c r="K1022">
        <v>22</v>
      </c>
    </row>
    <row r="1023" spans="1:11" x14ac:dyDescent="0.25">
      <c r="A1023" s="18" t="str">
        <f xml:space="preserve">  MapNameLkup</f>
        <v>m_ofs_trex_ar_invoices</v>
      </c>
      <c r="B1023" s="1" t="s">
        <v>104</v>
      </c>
      <c r="C1023" s="1" t="s">
        <v>105</v>
      </c>
      <c r="D1023" s="1" t="s">
        <v>1</v>
      </c>
      <c r="E1023" s="1" t="s">
        <v>107</v>
      </c>
      <c r="F1023">
        <v>1</v>
      </c>
      <c r="G1023" s="1"/>
      <c r="H1023" s="1" t="s">
        <v>170</v>
      </c>
      <c r="I1023" s="1" t="s">
        <v>28</v>
      </c>
      <c r="J1023" s="1" t="s">
        <v>31</v>
      </c>
      <c r="K1023">
        <v>23</v>
      </c>
    </row>
    <row r="1024" spans="1:11" x14ac:dyDescent="0.25">
      <c r="A1024" s="18" t="str">
        <f xml:space="preserve">  MapNameLkup</f>
        <v>m_ofs_trex_ar_invoices</v>
      </c>
      <c r="B1024" s="1" t="s">
        <v>104</v>
      </c>
      <c r="C1024" s="1" t="s">
        <v>105</v>
      </c>
      <c r="D1024" s="1" t="s">
        <v>1</v>
      </c>
      <c r="E1024" s="1" t="s">
        <v>107</v>
      </c>
      <c r="F1024">
        <v>1</v>
      </c>
      <c r="G1024" s="1"/>
      <c r="H1024" s="1" t="s">
        <v>171</v>
      </c>
      <c r="I1024" s="1" t="s">
        <v>28</v>
      </c>
      <c r="J1024" s="1" t="s">
        <v>31</v>
      </c>
      <c r="K1024">
        <v>24</v>
      </c>
    </row>
    <row r="1025" spans="1:11" x14ac:dyDescent="0.25">
      <c r="A1025" s="18" t="str">
        <f xml:space="preserve">  MapNameLkup</f>
        <v>m_ofs_trex_ar_invoices</v>
      </c>
      <c r="B1025" s="1" t="s">
        <v>104</v>
      </c>
      <c r="C1025" s="1" t="s">
        <v>105</v>
      </c>
      <c r="D1025" s="1" t="s">
        <v>1</v>
      </c>
      <c r="E1025" s="1" t="s">
        <v>107</v>
      </c>
      <c r="F1025">
        <v>1</v>
      </c>
      <c r="G1025" s="1"/>
      <c r="H1025" s="1" t="s">
        <v>172</v>
      </c>
      <c r="I1025" s="1" t="s">
        <v>28</v>
      </c>
      <c r="J1025" s="1" t="s">
        <v>31</v>
      </c>
      <c r="K1025">
        <v>25</v>
      </c>
    </row>
    <row r="1026" spans="1:11" x14ac:dyDescent="0.25">
      <c r="A1026" s="18" t="str">
        <f xml:space="preserve">  MapNameLkup</f>
        <v>m_ofs_trex_ar_invoices</v>
      </c>
      <c r="B1026" s="1" t="s">
        <v>104</v>
      </c>
      <c r="C1026" s="1" t="s">
        <v>105</v>
      </c>
      <c r="D1026" s="1" t="s">
        <v>1</v>
      </c>
      <c r="E1026" s="1" t="s">
        <v>107</v>
      </c>
      <c r="F1026">
        <v>1</v>
      </c>
      <c r="G1026" s="1"/>
      <c r="H1026" s="1" t="s">
        <v>173</v>
      </c>
      <c r="I1026" s="1" t="s">
        <v>28</v>
      </c>
      <c r="J1026" s="1" t="s">
        <v>31</v>
      </c>
      <c r="K1026">
        <v>26</v>
      </c>
    </row>
    <row r="1027" spans="1:11" x14ac:dyDescent="0.25">
      <c r="A1027" s="18" t="str">
        <f xml:space="preserve">  MapNameLkup</f>
        <v>m_ofs_trex_ar_invoices</v>
      </c>
      <c r="B1027" s="1" t="s">
        <v>104</v>
      </c>
      <c r="C1027" s="1" t="s">
        <v>105</v>
      </c>
      <c r="D1027" s="1" t="s">
        <v>1</v>
      </c>
      <c r="E1027" s="1" t="s">
        <v>107</v>
      </c>
      <c r="F1027">
        <v>1</v>
      </c>
      <c r="G1027" s="1"/>
      <c r="H1027" s="1" t="s">
        <v>207</v>
      </c>
      <c r="I1027" s="1" t="s">
        <v>28</v>
      </c>
      <c r="J1027" s="1" t="s">
        <v>31</v>
      </c>
      <c r="K1027">
        <v>27</v>
      </c>
    </row>
    <row r="1028" spans="1:11" x14ac:dyDescent="0.25">
      <c r="A1028" s="18" t="str">
        <f xml:space="preserve">  MapNameLkup</f>
        <v>m_ofs_trex_ar_invoices</v>
      </c>
      <c r="B1028" s="1" t="s">
        <v>104</v>
      </c>
      <c r="C1028" s="1" t="s">
        <v>105</v>
      </c>
      <c r="D1028" s="1" t="s">
        <v>1</v>
      </c>
      <c r="E1028" s="1" t="s">
        <v>107</v>
      </c>
      <c r="F1028">
        <v>1</v>
      </c>
      <c r="G1028" s="1"/>
      <c r="H1028" s="1" t="s">
        <v>208</v>
      </c>
      <c r="I1028" s="1" t="s">
        <v>28</v>
      </c>
      <c r="J1028" s="1" t="s">
        <v>31</v>
      </c>
      <c r="K1028">
        <v>28</v>
      </c>
    </row>
    <row r="1029" spans="1:11" x14ac:dyDescent="0.25">
      <c r="A1029" s="18" t="str">
        <f xml:space="preserve">  MapNameLkup</f>
        <v>m_ofs_trex_ar_invoices</v>
      </c>
      <c r="B1029" s="1" t="s">
        <v>104</v>
      </c>
      <c r="C1029" s="1" t="s">
        <v>105</v>
      </c>
      <c r="D1029" s="1" t="s">
        <v>1</v>
      </c>
      <c r="E1029" s="1" t="s">
        <v>107</v>
      </c>
      <c r="F1029">
        <v>1</v>
      </c>
      <c r="G1029" s="1"/>
      <c r="H1029" s="1" t="s">
        <v>209</v>
      </c>
      <c r="I1029" s="1" t="s">
        <v>28</v>
      </c>
      <c r="J1029" s="1" t="s">
        <v>31</v>
      </c>
      <c r="K1029">
        <v>29</v>
      </c>
    </row>
    <row r="1030" spans="1:11" x14ac:dyDescent="0.25">
      <c r="A1030" s="18" t="str">
        <f xml:space="preserve">  MapNameLkup</f>
        <v>m_ofs_trex_ar_invoices</v>
      </c>
      <c r="B1030" s="1" t="s">
        <v>104</v>
      </c>
      <c r="C1030" s="1" t="s">
        <v>105</v>
      </c>
      <c r="D1030" s="1" t="s">
        <v>1</v>
      </c>
      <c r="E1030" s="1" t="s">
        <v>107</v>
      </c>
      <c r="F1030">
        <v>1</v>
      </c>
      <c r="G1030" s="1"/>
      <c r="H1030" s="1" t="s">
        <v>210</v>
      </c>
      <c r="I1030" s="1" t="s">
        <v>28</v>
      </c>
      <c r="J1030" s="1" t="s">
        <v>31</v>
      </c>
      <c r="K1030">
        <v>30</v>
      </c>
    </row>
    <row r="1031" spans="1:11" x14ac:dyDescent="0.25">
      <c r="A1031" s="18" t="str">
        <f xml:space="preserve">  MapNameLkup</f>
        <v>m_ofs_trex_ar_invoices</v>
      </c>
      <c r="B1031" s="1" t="s">
        <v>104</v>
      </c>
      <c r="C1031" s="1" t="s">
        <v>105</v>
      </c>
      <c r="D1031" s="1" t="s">
        <v>1</v>
      </c>
      <c r="E1031" s="1" t="s">
        <v>107</v>
      </c>
      <c r="F1031">
        <v>1</v>
      </c>
      <c r="G1031" s="1"/>
      <c r="H1031" s="1" t="s">
        <v>211</v>
      </c>
      <c r="I1031" s="1" t="s">
        <v>28</v>
      </c>
      <c r="J1031" s="1" t="s">
        <v>31</v>
      </c>
      <c r="K1031">
        <v>31</v>
      </c>
    </row>
    <row r="1032" spans="1:11" x14ac:dyDescent="0.25">
      <c r="A1032" s="18" t="str">
        <f xml:space="preserve">  MapNameLkup</f>
        <v>m_ofs_trex_ar_invoices</v>
      </c>
      <c r="B1032" s="1" t="s">
        <v>104</v>
      </c>
      <c r="C1032" s="1" t="s">
        <v>105</v>
      </c>
      <c r="D1032" s="1" t="s">
        <v>1</v>
      </c>
      <c r="E1032" s="1" t="s">
        <v>107</v>
      </c>
      <c r="F1032">
        <v>1</v>
      </c>
      <c r="G1032" s="1"/>
      <c r="H1032" s="1" t="s">
        <v>275</v>
      </c>
      <c r="I1032" s="1" t="s">
        <v>28</v>
      </c>
      <c r="J1032" s="1" t="s">
        <v>31</v>
      </c>
      <c r="K1032">
        <v>32</v>
      </c>
    </row>
    <row r="1033" spans="1:11" x14ac:dyDescent="0.25">
      <c r="A1033" s="18" t="str">
        <f xml:space="preserve">  MapNameLkup</f>
        <v>m_ofs_trex_ar_invoices</v>
      </c>
      <c r="B1033" s="1" t="s">
        <v>104</v>
      </c>
      <c r="C1033" s="1" t="s">
        <v>105</v>
      </c>
      <c r="D1033" s="1" t="s">
        <v>1</v>
      </c>
      <c r="E1033" s="1" t="s">
        <v>107</v>
      </c>
      <c r="F1033">
        <v>1</v>
      </c>
      <c r="G1033" s="1"/>
      <c r="H1033" s="1" t="s">
        <v>276</v>
      </c>
      <c r="I1033" s="1" t="s">
        <v>28</v>
      </c>
      <c r="J1033" s="1" t="s">
        <v>31</v>
      </c>
      <c r="K1033">
        <v>33</v>
      </c>
    </row>
    <row r="1034" spans="1:11" x14ac:dyDescent="0.25">
      <c r="A1034" s="18" t="str">
        <f xml:space="preserve">  MapNameLkup</f>
        <v>m_ofs_trex_ar_invoices</v>
      </c>
      <c r="B1034" s="1" t="s">
        <v>104</v>
      </c>
      <c r="C1034" s="1" t="s">
        <v>105</v>
      </c>
      <c r="D1034" s="1" t="s">
        <v>1</v>
      </c>
      <c r="E1034" s="1" t="s">
        <v>107</v>
      </c>
      <c r="F1034">
        <v>1</v>
      </c>
      <c r="G1034" s="1"/>
      <c r="H1034" s="1" t="s">
        <v>277</v>
      </c>
      <c r="I1034" s="1" t="s">
        <v>28</v>
      </c>
      <c r="J1034" s="1" t="s">
        <v>31</v>
      </c>
      <c r="K1034">
        <v>34</v>
      </c>
    </row>
    <row r="1035" spans="1:11" x14ac:dyDescent="0.25">
      <c r="A1035" s="18" t="str">
        <f xml:space="preserve">  MapNameLkup</f>
        <v>m_ofs_trex_ar_invoices</v>
      </c>
      <c r="B1035" s="1" t="s">
        <v>104</v>
      </c>
      <c r="C1035" s="1" t="s">
        <v>105</v>
      </c>
      <c r="D1035" s="1" t="s">
        <v>1</v>
      </c>
      <c r="E1035" s="1" t="s">
        <v>107</v>
      </c>
      <c r="F1035">
        <v>1</v>
      </c>
      <c r="G1035" s="1"/>
      <c r="H1035" s="1" t="s">
        <v>278</v>
      </c>
      <c r="I1035" s="1" t="s">
        <v>28</v>
      </c>
      <c r="J1035" s="1" t="s">
        <v>31</v>
      </c>
      <c r="K1035">
        <v>35</v>
      </c>
    </row>
    <row r="1036" spans="1:11" x14ac:dyDescent="0.25">
      <c r="A1036" s="18" t="str">
        <f xml:space="preserve">  MapNameLkup</f>
        <v>m_ofs_trex_ar_invoices</v>
      </c>
      <c r="B1036" s="1" t="s">
        <v>104</v>
      </c>
      <c r="C1036" s="1" t="s">
        <v>105</v>
      </c>
      <c r="D1036" s="1" t="s">
        <v>1</v>
      </c>
      <c r="E1036" s="1" t="s">
        <v>107</v>
      </c>
      <c r="F1036">
        <v>1</v>
      </c>
      <c r="G1036" s="1"/>
      <c r="H1036" s="1" t="s">
        <v>279</v>
      </c>
      <c r="I1036" s="1" t="s">
        <v>28</v>
      </c>
      <c r="J1036" s="1" t="s">
        <v>31</v>
      </c>
      <c r="K1036">
        <v>36</v>
      </c>
    </row>
    <row r="1037" spans="1:11" x14ac:dyDescent="0.25">
      <c r="A1037" s="18" t="str">
        <f xml:space="preserve">  MapNameLkup</f>
        <v>m_ofs_trex_ar_invoices</v>
      </c>
      <c r="B1037" s="1" t="s">
        <v>104</v>
      </c>
      <c r="C1037" s="1" t="s">
        <v>105</v>
      </c>
      <c r="D1037" s="1" t="s">
        <v>1</v>
      </c>
      <c r="E1037" s="1" t="s">
        <v>107</v>
      </c>
      <c r="F1037">
        <v>1</v>
      </c>
      <c r="G1037" s="1"/>
      <c r="H1037" s="1" t="s">
        <v>280</v>
      </c>
      <c r="I1037" s="1" t="s">
        <v>28</v>
      </c>
      <c r="J1037" s="1" t="s">
        <v>31</v>
      </c>
      <c r="K1037">
        <v>37</v>
      </c>
    </row>
    <row r="1038" spans="1:11" x14ac:dyDescent="0.25">
      <c r="A1038" s="18" t="str">
        <f xml:space="preserve">  MapNameLkup</f>
        <v>m_ofs_trex_ar_invoices</v>
      </c>
      <c r="B1038" s="1" t="s">
        <v>104</v>
      </c>
      <c r="C1038" s="1" t="s">
        <v>105</v>
      </c>
      <c r="D1038" s="1" t="s">
        <v>1</v>
      </c>
      <c r="E1038" s="1" t="s">
        <v>107</v>
      </c>
      <c r="F1038">
        <v>1</v>
      </c>
      <c r="G1038" s="1"/>
      <c r="H1038" s="1" t="s">
        <v>281</v>
      </c>
      <c r="I1038" s="1" t="s">
        <v>28</v>
      </c>
      <c r="J1038" s="1" t="s">
        <v>31</v>
      </c>
      <c r="K1038">
        <v>38</v>
      </c>
    </row>
    <row r="1039" spans="1:11" x14ac:dyDescent="0.25">
      <c r="A1039" s="18" t="str">
        <f xml:space="preserve">  MapNameLkup</f>
        <v>m_ofs_trex_ar_invoices</v>
      </c>
      <c r="B1039" s="1" t="s">
        <v>104</v>
      </c>
      <c r="C1039" s="1" t="s">
        <v>105</v>
      </c>
      <c r="D1039" s="1" t="s">
        <v>1</v>
      </c>
      <c r="E1039" s="1" t="s">
        <v>107</v>
      </c>
      <c r="F1039">
        <v>1</v>
      </c>
      <c r="G1039" s="1"/>
      <c r="H1039" s="1" t="s">
        <v>282</v>
      </c>
      <c r="I1039" s="1" t="s">
        <v>28</v>
      </c>
      <c r="J1039" s="1" t="s">
        <v>31</v>
      </c>
      <c r="K1039">
        <v>39</v>
      </c>
    </row>
    <row r="1040" spans="1:11" x14ac:dyDescent="0.25">
      <c r="A1040" s="18" t="str">
        <f xml:space="preserve">  MapNameLkup</f>
        <v>m_ofs_trex_ar_invoices</v>
      </c>
      <c r="B1040" s="1" t="s">
        <v>104</v>
      </c>
      <c r="C1040" s="1" t="s">
        <v>105</v>
      </c>
      <c r="D1040" s="1" t="s">
        <v>1</v>
      </c>
      <c r="E1040" s="1" t="s">
        <v>107</v>
      </c>
      <c r="F1040">
        <v>1</v>
      </c>
      <c r="G1040" s="1"/>
      <c r="H1040" s="1" t="s">
        <v>283</v>
      </c>
      <c r="I1040" s="1" t="s">
        <v>28</v>
      </c>
      <c r="J1040" s="1" t="s">
        <v>31</v>
      </c>
      <c r="K1040">
        <v>40</v>
      </c>
    </row>
    <row r="1041" spans="1:11" x14ac:dyDescent="0.25">
      <c r="A1041" s="18" t="str">
        <f xml:space="preserve">  MapNameLkup</f>
        <v>m_ofs_trex_ar_invoices</v>
      </c>
      <c r="B1041" s="1" t="s">
        <v>104</v>
      </c>
      <c r="C1041" s="1" t="s">
        <v>105</v>
      </c>
      <c r="D1041" s="1" t="s">
        <v>1</v>
      </c>
      <c r="E1041" s="1" t="s">
        <v>107</v>
      </c>
      <c r="F1041">
        <v>1</v>
      </c>
      <c r="G1041" s="1"/>
      <c r="H1041" s="1" t="s">
        <v>239</v>
      </c>
      <c r="I1041" s="1" t="s">
        <v>28</v>
      </c>
      <c r="J1041" s="1" t="s">
        <v>31</v>
      </c>
      <c r="K1041">
        <v>41</v>
      </c>
    </row>
    <row r="1042" spans="1:11" x14ac:dyDescent="0.25">
      <c r="A1042" s="18" t="str">
        <f xml:space="preserve">  MapNameLkup</f>
        <v>m_ofs_trex_ar_invoices</v>
      </c>
      <c r="B1042" s="1" t="s">
        <v>104</v>
      </c>
      <c r="C1042" s="1" t="s">
        <v>105</v>
      </c>
      <c r="D1042" s="1" t="s">
        <v>1</v>
      </c>
      <c r="E1042" s="1" t="s">
        <v>107</v>
      </c>
      <c r="F1042">
        <v>1</v>
      </c>
      <c r="G1042" s="1"/>
      <c r="H1042" s="1" t="s">
        <v>219</v>
      </c>
      <c r="I1042" s="1" t="s">
        <v>28</v>
      </c>
      <c r="J1042" s="1" t="s">
        <v>31</v>
      </c>
      <c r="K1042">
        <v>42</v>
      </c>
    </row>
    <row r="1043" spans="1:11" x14ac:dyDescent="0.25">
      <c r="A1043" s="18" t="str">
        <f xml:space="preserve">  MapNameLkup</f>
        <v>m_ofs_trex_ar_invoices</v>
      </c>
      <c r="B1043" s="1" t="s">
        <v>104</v>
      </c>
      <c r="C1043" s="1" t="s">
        <v>105</v>
      </c>
      <c r="D1043" s="1" t="s">
        <v>1</v>
      </c>
      <c r="E1043" s="1" t="s">
        <v>107</v>
      </c>
      <c r="F1043">
        <v>1</v>
      </c>
      <c r="G1043" s="1"/>
      <c r="H1043" s="1" t="s">
        <v>220</v>
      </c>
      <c r="I1043" s="1" t="s">
        <v>28</v>
      </c>
      <c r="J1043" s="1" t="s">
        <v>31</v>
      </c>
      <c r="K1043">
        <v>43</v>
      </c>
    </row>
    <row r="1044" spans="1:11" x14ac:dyDescent="0.25">
      <c r="A1044" s="18" t="str">
        <f xml:space="preserve">  MapNameLkup</f>
        <v>m_ofs_trex_ar_invoices</v>
      </c>
      <c r="B1044" s="1" t="s">
        <v>104</v>
      </c>
      <c r="C1044" s="1" t="s">
        <v>105</v>
      </c>
      <c r="D1044" s="1" t="s">
        <v>1</v>
      </c>
      <c r="E1044" s="1" t="s">
        <v>107</v>
      </c>
      <c r="F1044">
        <v>1</v>
      </c>
      <c r="G1044" s="1"/>
      <c r="H1044" s="1" t="s">
        <v>222</v>
      </c>
      <c r="I1044" s="1" t="s">
        <v>28</v>
      </c>
      <c r="J1044" s="1" t="s">
        <v>31</v>
      </c>
      <c r="K1044">
        <v>44</v>
      </c>
    </row>
    <row r="1045" spans="1:11" x14ac:dyDescent="0.25">
      <c r="A1045" s="18" t="str">
        <f xml:space="preserve">  MapNameLkup</f>
        <v>m_ofs_trex_ar_invoices</v>
      </c>
      <c r="B1045" s="1" t="s">
        <v>104</v>
      </c>
      <c r="C1045" s="1" t="s">
        <v>105</v>
      </c>
      <c r="D1045" s="1" t="s">
        <v>1</v>
      </c>
      <c r="E1045" s="1" t="s">
        <v>107</v>
      </c>
      <c r="F1045">
        <v>1</v>
      </c>
      <c r="G1045" s="1"/>
      <c r="H1045" s="1" t="s">
        <v>221</v>
      </c>
      <c r="I1045" s="1" t="s">
        <v>28</v>
      </c>
      <c r="J1045" s="1" t="s">
        <v>31</v>
      </c>
      <c r="K1045">
        <v>45</v>
      </c>
    </row>
    <row r="1046" spans="1:11" x14ac:dyDescent="0.25">
      <c r="A1046" s="18" t="str">
        <f xml:space="preserve">  MapNameLkup</f>
        <v>m_ofs_trex_ar_invoices</v>
      </c>
      <c r="B1046" s="1" t="s">
        <v>104</v>
      </c>
      <c r="C1046" s="1" t="s">
        <v>105</v>
      </c>
      <c r="D1046" s="1" t="s">
        <v>1</v>
      </c>
      <c r="E1046" s="1" t="s">
        <v>107</v>
      </c>
      <c r="F1046">
        <v>1</v>
      </c>
      <c r="G1046" s="1"/>
      <c r="H1046" s="1" t="s">
        <v>223</v>
      </c>
      <c r="I1046" s="1" t="s">
        <v>28</v>
      </c>
      <c r="J1046" s="1" t="s">
        <v>31</v>
      </c>
      <c r="K1046">
        <v>46</v>
      </c>
    </row>
    <row r="1047" spans="1:11" x14ac:dyDescent="0.25">
      <c r="A1047" s="18" t="str">
        <f xml:space="preserve">  MapNameLkup</f>
        <v>m_ofs_trex_ar_invoices</v>
      </c>
      <c r="B1047" s="1" t="s">
        <v>104</v>
      </c>
      <c r="C1047" s="1" t="s">
        <v>105</v>
      </c>
      <c r="D1047" s="1" t="s">
        <v>1</v>
      </c>
      <c r="E1047" s="1" t="s">
        <v>107</v>
      </c>
      <c r="F1047">
        <v>1</v>
      </c>
      <c r="G1047" s="1"/>
      <c r="H1047" s="1" t="s">
        <v>224</v>
      </c>
      <c r="I1047" s="1" t="s">
        <v>28</v>
      </c>
      <c r="J1047" s="1" t="s">
        <v>31</v>
      </c>
      <c r="K1047">
        <v>47</v>
      </c>
    </row>
    <row r="1048" spans="1:11" x14ac:dyDescent="0.25">
      <c r="A1048" s="18" t="str">
        <f xml:space="preserve">  MapNameLkup</f>
        <v>m_ofs_trex_ar_invoices</v>
      </c>
      <c r="B1048" s="1" t="s">
        <v>104</v>
      </c>
      <c r="C1048" s="1" t="s">
        <v>105</v>
      </c>
      <c r="D1048" s="1" t="s">
        <v>1</v>
      </c>
      <c r="E1048" s="1" t="s">
        <v>107</v>
      </c>
      <c r="F1048">
        <v>1</v>
      </c>
      <c r="G1048" s="1"/>
      <c r="H1048" s="1" t="s">
        <v>225</v>
      </c>
      <c r="I1048" s="1" t="s">
        <v>28</v>
      </c>
      <c r="J1048" s="1" t="s">
        <v>31</v>
      </c>
      <c r="K1048">
        <v>48</v>
      </c>
    </row>
    <row r="1049" spans="1:11" x14ac:dyDescent="0.25">
      <c r="A1049" s="18" t="str">
        <f xml:space="preserve">  MapNameLkup</f>
        <v>m_ofs_trex_ar_invoices</v>
      </c>
      <c r="B1049" s="1" t="s">
        <v>104</v>
      </c>
      <c r="C1049" s="1" t="s">
        <v>105</v>
      </c>
      <c r="D1049" s="1" t="s">
        <v>1</v>
      </c>
      <c r="E1049" s="1" t="s">
        <v>107</v>
      </c>
      <c r="F1049">
        <v>1</v>
      </c>
      <c r="G1049" s="1"/>
      <c r="H1049" s="1" t="s">
        <v>226</v>
      </c>
      <c r="I1049" s="1" t="s">
        <v>28</v>
      </c>
      <c r="J1049" s="1" t="s">
        <v>31</v>
      </c>
      <c r="K1049">
        <v>49</v>
      </c>
    </row>
    <row r="1050" spans="1:11" x14ac:dyDescent="0.25">
      <c r="A1050" s="18" t="str">
        <f xml:space="preserve">  MapNameLkup</f>
        <v>m_ofs_trex_ar_invoices</v>
      </c>
      <c r="B1050" s="1" t="s">
        <v>104</v>
      </c>
      <c r="C1050" s="1" t="s">
        <v>105</v>
      </c>
      <c r="D1050" s="1" t="s">
        <v>1</v>
      </c>
      <c r="E1050" s="1" t="s">
        <v>107</v>
      </c>
      <c r="F1050">
        <v>1</v>
      </c>
      <c r="G1050" s="1"/>
      <c r="H1050" s="1" t="s">
        <v>227</v>
      </c>
      <c r="I1050" s="1" t="s">
        <v>28</v>
      </c>
      <c r="J1050" s="1" t="s">
        <v>31</v>
      </c>
      <c r="K1050">
        <v>50</v>
      </c>
    </row>
    <row r="1051" spans="1:11" x14ac:dyDescent="0.25">
      <c r="A1051" s="18" t="str">
        <f xml:space="preserve">  MapNameLkup</f>
        <v>m_ofs_trex_ar_invoices</v>
      </c>
      <c r="B1051" s="1" t="s">
        <v>104</v>
      </c>
      <c r="C1051" s="1" t="s">
        <v>105</v>
      </c>
      <c r="D1051" s="1" t="s">
        <v>1</v>
      </c>
      <c r="E1051" s="1" t="s">
        <v>107</v>
      </c>
      <c r="F1051">
        <v>1</v>
      </c>
      <c r="G1051" s="1"/>
      <c r="H1051" s="1" t="s">
        <v>228</v>
      </c>
      <c r="I1051" s="1" t="s">
        <v>28</v>
      </c>
      <c r="J1051" s="1" t="s">
        <v>31</v>
      </c>
      <c r="K1051">
        <v>51</v>
      </c>
    </row>
    <row r="1052" spans="1:11" x14ac:dyDescent="0.25">
      <c r="A1052" s="18" t="str">
        <f xml:space="preserve">  MapNameLkup</f>
        <v>m_ofs_trex_ar_invoices</v>
      </c>
      <c r="B1052" s="1" t="s">
        <v>104</v>
      </c>
      <c r="C1052" s="1" t="s">
        <v>105</v>
      </c>
      <c r="D1052" s="1" t="s">
        <v>1</v>
      </c>
      <c r="E1052" s="1" t="s">
        <v>107</v>
      </c>
      <c r="F1052">
        <v>1</v>
      </c>
      <c r="G1052" s="1"/>
      <c r="H1052" s="1" t="s">
        <v>229</v>
      </c>
      <c r="I1052" s="1" t="s">
        <v>28</v>
      </c>
      <c r="J1052" s="1" t="s">
        <v>31</v>
      </c>
      <c r="K1052">
        <v>52</v>
      </c>
    </row>
    <row r="1053" spans="1:11" x14ac:dyDescent="0.25">
      <c r="A1053" s="18" t="str">
        <f xml:space="preserve">  MapNameLkup</f>
        <v>m_ofs_trex_ar_invoices</v>
      </c>
      <c r="B1053" s="1" t="s">
        <v>104</v>
      </c>
      <c r="C1053" s="1" t="s">
        <v>105</v>
      </c>
      <c r="D1053" s="1" t="s">
        <v>1</v>
      </c>
      <c r="E1053" s="1" t="s">
        <v>107</v>
      </c>
      <c r="F1053">
        <v>1</v>
      </c>
      <c r="G1053" s="1"/>
      <c r="H1053" s="1" t="s">
        <v>230</v>
      </c>
      <c r="I1053" s="1" t="s">
        <v>28</v>
      </c>
      <c r="J1053" s="1" t="s">
        <v>31</v>
      </c>
      <c r="K1053">
        <v>53</v>
      </c>
    </row>
    <row r="1054" spans="1:11" x14ac:dyDescent="0.25">
      <c r="A1054" s="18" t="str">
        <f xml:space="preserve">  MapNameLkup</f>
        <v>m_ofs_trex_ar_invoices</v>
      </c>
      <c r="B1054" s="1" t="s">
        <v>104</v>
      </c>
      <c r="C1054" s="1" t="s">
        <v>105</v>
      </c>
      <c r="D1054" s="1" t="s">
        <v>1</v>
      </c>
      <c r="E1054" s="1" t="s">
        <v>107</v>
      </c>
      <c r="F1054">
        <v>1</v>
      </c>
      <c r="G1054" s="1"/>
      <c r="H1054" s="1" t="s">
        <v>231</v>
      </c>
      <c r="I1054" s="1" t="s">
        <v>28</v>
      </c>
      <c r="J1054" s="1" t="s">
        <v>31</v>
      </c>
      <c r="K1054">
        <v>54</v>
      </c>
    </row>
    <row r="1055" spans="1:11" x14ac:dyDescent="0.25">
      <c r="A1055" s="18" t="str">
        <f xml:space="preserve">  MapNameLkup</f>
        <v>m_ofs_trex_ar_invoices</v>
      </c>
      <c r="B1055" s="1" t="s">
        <v>104</v>
      </c>
      <c r="C1055" s="1" t="s">
        <v>105</v>
      </c>
      <c r="D1055" s="1" t="s">
        <v>1</v>
      </c>
      <c r="E1055" s="1" t="s">
        <v>107</v>
      </c>
      <c r="F1055">
        <v>1</v>
      </c>
      <c r="G1055" s="1"/>
      <c r="H1055" s="1" t="s">
        <v>232</v>
      </c>
      <c r="I1055" s="1" t="s">
        <v>28</v>
      </c>
      <c r="J1055" s="1" t="s">
        <v>31</v>
      </c>
      <c r="K1055">
        <v>55</v>
      </c>
    </row>
    <row r="1056" spans="1:11" x14ac:dyDescent="0.25">
      <c r="A1056" s="18" t="str">
        <f xml:space="preserve">  MapNameLkup</f>
        <v>m_ofs_trex_ar_invoices</v>
      </c>
      <c r="B1056" s="1" t="s">
        <v>104</v>
      </c>
      <c r="C1056" s="1" t="s">
        <v>105</v>
      </c>
      <c r="D1056" s="1" t="s">
        <v>1</v>
      </c>
      <c r="E1056" s="1" t="s">
        <v>107</v>
      </c>
      <c r="F1056">
        <v>1</v>
      </c>
      <c r="G1056" s="1"/>
      <c r="H1056" s="1" t="s">
        <v>233</v>
      </c>
      <c r="I1056" s="1" t="s">
        <v>28</v>
      </c>
      <c r="J1056" s="1" t="s">
        <v>31</v>
      </c>
      <c r="K1056">
        <v>56</v>
      </c>
    </row>
    <row r="1057" spans="1:11" x14ac:dyDescent="0.25">
      <c r="A1057" s="18" t="str">
        <f xml:space="preserve">  MapNameLkup</f>
        <v>m_ofs_trex_ar_invoices</v>
      </c>
      <c r="B1057" s="1" t="s">
        <v>104</v>
      </c>
      <c r="C1057" s="1" t="s">
        <v>105</v>
      </c>
      <c r="D1057" s="1" t="s">
        <v>1</v>
      </c>
      <c r="E1057" s="1" t="s">
        <v>107</v>
      </c>
      <c r="F1057">
        <v>1</v>
      </c>
      <c r="G1057" s="1"/>
      <c r="H1057" s="1" t="s">
        <v>234</v>
      </c>
      <c r="I1057" s="1" t="s">
        <v>28</v>
      </c>
      <c r="J1057" s="1" t="s">
        <v>31</v>
      </c>
      <c r="K1057">
        <v>57</v>
      </c>
    </row>
    <row r="1058" spans="1:11" x14ac:dyDescent="0.25">
      <c r="A1058" s="18" t="str">
        <f xml:space="preserve">  MapNameLkup</f>
        <v>m_ofs_trex_ar_invoices</v>
      </c>
      <c r="B1058" s="1" t="s">
        <v>104</v>
      </c>
      <c r="C1058" s="1" t="s">
        <v>105</v>
      </c>
      <c r="D1058" s="1" t="s">
        <v>1</v>
      </c>
      <c r="E1058" s="1" t="s">
        <v>107</v>
      </c>
      <c r="F1058">
        <v>1</v>
      </c>
      <c r="G1058" s="1"/>
      <c r="H1058" s="1" t="s">
        <v>235</v>
      </c>
      <c r="I1058" s="1" t="s">
        <v>28</v>
      </c>
      <c r="J1058" s="1" t="s">
        <v>31</v>
      </c>
      <c r="K1058">
        <v>58</v>
      </c>
    </row>
    <row r="1059" spans="1:11" x14ac:dyDescent="0.25">
      <c r="A1059" s="18" t="str">
        <f xml:space="preserve">  MapNameLkup</f>
        <v>m_ofs_trex_ar_invoices</v>
      </c>
      <c r="B1059" s="1" t="s">
        <v>104</v>
      </c>
      <c r="C1059" s="1" t="s">
        <v>105</v>
      </c>
      <c r="D1059" s="1" t="s">
        <v>1</v>
      </c>
      <c r="E1059" s="1" t="s">
        <v>107</v>
      </c>
      <c r="F1059">
        <v>1</v>
      </c>
      <c r="G1059" s="1"/>
      <c r="H1059" s="1" t="s">
        <v>236</v>
      </c>
      <c r="I1059" s="1" t="s">
        <v>28</v>
      </c>
      <c r="J1059" s="1" t="s">
        <v>31</v>
      </c>
      <c r="K1059">
        <v>59</v>
      </c>
    </row>
    <row r="1060" spans="1:11" x14ac:dyDescent="0.25">
      <c r="A1060" s="18" t="str">
        <f xml:space="preserve">  MapNameLkup</f>
        <v>m_ofs_trex_ar_invoices</v>
      </c>
      <c r="B1060" s="1" t="s">
        <v>104</v>
      </c>
      <c r="C1060" s="1" t="s">
        <v>105</v>
      </c>
      <c r="D1060" s="1" t="s">
        <v>1</v>
      </c>
      <c r="E1060" s="1" t="s">
        <v>107</v>
      </c>
      <c r="F1060">
        <v>1</v>
      </c>
      <c r="G1060" s="1"/>
      <c r="H1060" s="1" t="s">
        <v>237</v>
      </c>
      <c r="I1060" s="1" t="s">
        <v>28</v>
      </c>
      <c r="J1060" s="1" t="s">
        <v>31</v>
      </c>
      <c r="K1060">
        <v>60</v>
      </c>
    </row>
    <row r="1061" spans="1:11" x14ac:dyDescent="0.25">
      <c r="A1061" s="18" t="str">
        <f xml:space="preserve">  MapNameLkup</f>
        <v>m_ofs_trex_ar_invoices</v>
      </c>
      <c r="B1061" s="1" t="s">
        <v>104</v>
      </c>
      <c r="C1061" s="1" t="s">
        <v>105</v>
      </c>
      <c r="D1061" s="1" t="s">
        <v>1</v>
      </c>
      <c r="E1061" s="1" t="s">
        <v>107</v>
      </c>
      <c r="F1061">
        <v>1</v>
      </c>
      <c r="G1061" s="1"/>
      <c r="H1061" s="1" t="s">
        <v>238</v>
      </c>
      <c r="I1061" s="1" t="s">
        <v>28</v>
      </c>
      <c r="J1061" s="1" t="s">
        <v>31</v>
      </c>
      <c r="K1061">
        <v>61</v>
      </c>
    </row>
    <row r="1062" spans="1:11" x14ac:dyDescent="0.25">
      <c r="A1062" s="18" t="str">
        <f xml:space="preserve">  MapNameLkup</f>
        <v>m_ofs_trex_ar_invoices</v>
      </c>
      <c r="B1062" s="1" t="s">
        <v>104</v>
      </c>
      <c r="C1062" s="1" t="s">
        <v>105</v>
      </c>
      <c r="D1062" s="1" t="s">
        <v>1</v>
      </c>
      <c r="E1062" s="1" t="s">
        <v>107</v>
      </c>
      <c r="F1062">
        <v>1</v>
      </c>
      <c r="G1062" s="1"/>
      <c r="H1062" s="1" t="s">
        <v>757</v>
      </c>
      <c r="I1062" s="1" t="s">
        <v>28</v>
      </c>
      <c r="J1062" s="1" t="s">
        <v>32</v>
      </c>
      <c r="K1062">
        <v>62</v>
      </c>
    </row>
    <row r="1063" spans="1:11" x14ac:dyDescent="0.25">
      <c r="A1063" s="18" t="str">
        <f xml:space="preserve">  MapNameLkup</f>
        <v>m_ofs_trex_ar_invoices</v>
      </c>
      <c r="B1063" s="1" t="s">
        <v>104</v>
      </c>
      <c r="C1063" s="1" t="s">
        <v>105</v>
      </c>
      <c r="D1063" s="1" t="s">
        <v>1</v>
      </c>
      <c r="E1063" s="1" t="s">
        <v>107</v>
      </c>
      <c r="F1063">
        <v>1</v>
      </c>
      <c r="G1063" s="1"/>
      <c r="H1063" s="1" t="s">
        <v>758</v>
      </c>
      <c r="I1063" s="1" t="s">
        <v>28</v>
      </c>
      <c r="J1063" s="1" t="s">
        <v>31</v>
      </c>
      <c r="K1063">
        <v>63</v>
      </c>
    </row>
    <row r="1064" spans="1:11" x14ac:dyDescent="0.25">
      <c r="A1064" s="18" t="str">
        <f xml:space="preserve">  MapNameLkup</f>
        <v>m_ofs_trex_ar_invoices</v>
      </c>
      <c r="B1064" s="1" t="s">
        <v>104</v>
      </c>
      <c r="C1064" s="1" t="s">
        <v>105</v>
      </c>
      <c r="D1064" s="1" t="s">
        <v>1</v>
      </c>
      <c r="E1064" s="1" t="s">
        <v>107</v>
      </c>
      <c r="F1064">
        <v>1</v>
      </c>
      <c r="G1064" s="1"/>
      <c r="H1064" s="1" t="s">
        <v>759</v>
      </c>
      <c r="I1064" s="1" t="s">
        <v>28</v>
      </c>
      <c r="J1064" s="1" t="s">
        <v>31</v>
      </c>
      <c r="K1064">
        <v>64</v>
      </c>
    </row>
    <row r="1065" spans="1:11" x14ac:dyDescent="0.25">
      <c r="A1065" s="18" t="str">
        <f xml:space="preserve">  MapNameLkup</f>
        <v>m_ofs_trex_ar_invoices</v>
      </c>
      <c r="B1065" s="1" t="s">
        <v>104</v>
      </c>
      <c r="C1065" s="1" t="s">
        <v>105</v>
      </c>
      <c r="D1065" s="1" t="s">
        <v>1</v>
      </c>
      <c r="E1065" s="1" t="s">
        <v>107</v>
      </c>
      <c r="F1065">
        <v>1</v>
      </c>
      <c r="G1065" s="1"/>
      <c r="H1065" s="1" t="s">
        <v>760</v>
      </c>
      <c r="I1065" s="1" t="s">
        <v>28</v>
      </c>
      <c r="J1065" s="1" t="s">
        <v>31</v>
      </c>
      <c r="K1065">
        <v>65</v>
      </c>
    </row>
    <row r="1066" spans="1:11" x14ac:dyDescent="0.25">
      <c r="A1066" s="18" t="str">
        <f xml:space="preserve">  MapNameLkup</f>
        <v>m_ofs_trex_ar_invoices</v>
      </c>
      <c r="B1066" s="1" t="s">
        <v>104</v>
      </c>
      <c r="C1066" s="1" t="s">
        <v>105</v>
      </c>
      <c r="D1066" s="1" t="s">
        <v>1</v>
      </c>
      <c r="E1066" s="1" t="s">
        <v>107</v>
      </c>
      <c r="F1066">
        <v>1</v>
      </c>
      <c r="G1066" s="1"/>
      <c r="H1066" s="1" t="s">
        <v>761</v>
      </c>
      <c r="I1066" s="1" t="s">
        <v>28</v>
      </c>
      <c r="J1066" s="1" t="s">
        <v>31</v>
      </c>
      <c r="K1066">
        <v>66</v>
      </c>
    </row>
    <row r="1067" spans="1:11" x14ac:dyDescent="0.25">
      <c r="A1067" s="18" t="str">
        <f xml:space="preserve">  MapNameLkup</f>
        <v>m_ofs_trex_ar_invoices</v>
      </c>
      <c r="B1067" s="1" t="s">
        <v>104</v>
      </c>
      <c r="C1067" s="1" t="s">
        <v>105</v>
      </c>
      <c r="D1067" s="1" t="s">
        <v>1</v>
      </c>
      <c r="E1067" s="1" t="s">
        <v>107</v>
      </c>
      <c r="F1067">
        <v>1</v>
      </c>
      <c r="G1067" s="1"/>
      <c r="H1067" s="1" t="s">
        <v>762</v>
      </c>
      <c r="I1067" s="1" t="s">
        <v>28</v>
      </c>
      <c r="J1067" s="1" t="s">
        <v>31</v>
      </c>
      <c r="K1067">
        <v>67</v>
      </c>
    </row>
    <row r="1068" spans="1:11" x14ac:dyDescent="0.25">
      <c r="A1068" s="18" t="str">
        <f xml:space="preserve">  MapNameLkup</f>
        <v>m_ofs_trex_ar_invoices</v>
      </c>
      <c r="B1068" s="1" t="s">
        <v>104</v>
      </c>
      <c r="C1068" s="1" t="s">
        <v>105</v>
      </c>
      <c r="D1068" s="1" t="s">
        <v>1</v>
      </c>
      <c r="E1068" s="1" t="s">
        <v>107</v>
      </c>
      <c r="F1068">
        <v>1</v>
      </c>
      <c r="G1068" s="1"/>
      <c r="H1068" s="1" t="s">
        <v>763</v>
      </c>
      <c r="I1068" s="1" t="s">
        <v>28</v>
      </c>
      <c r="J1068" s="1" t="s">
        <v>31</v>
      </c>
      <c r="K1068">
        <v>68</v>
      </c>
    </row>
    <row r="1069" spans="1:11" x14ac:dyDescent="0.25">
      <c r="A1069" s="18" t="str">
        <f xml:space="preserve">  MapNameLkup</f>
        <v>m_ofs_trex_ar_invoices</v>
      </c>
      <c r="B1069" s="1" t="s">
        <v>104</v>
      </c>
      <c r="C1069" s="1" t="s">
        <v>105</v>
      </c>
      <c r="D1069" s="1" t="s">
        <v>1</v>
      </c>
      <c r="E1069" s="1" t="s">
        <v>107</v>
      </c>
      <c r="F1069">
        <v>1</v>
      </c>
      <c r="G1069" s="1"/>
      <c r="H1069" s="1" t="s">
        <v>764</v>
      </c>
      <c r="I1069" s="1" t="s">
        <v>28</v>
      </c>
      <c r="J1069" s="1" t="s">
        <v>31</v>
      </c>
      <c r="K1069">
        <v>69</v>
      </c>
    </row>
    <row r="1070" spans="1:11" x14ac:dyDescent="0.25">
      <c r="A1070" s="18" t="str">
        <f xml:space="preserve">  MapNameLkup</f>
        <v>m_ofs_trex_ar_invoices</v>
      </c>
      <c r="B1070" s="1" t="s">
        <v>104</v>
      </c>
      <c r="C1070" s="1" t="s">
        <v>105</v>
      </c>
      <c r="D1070" s="1" t="s">
        <v>1</v>
      </c>
      <c r="E1070" s="1" t="s">
        <v>107</v>
      </c>
      <c r="F1070">
        <v>1</v>
      </c>
      <c r="G1070" s="1"/>
      <c r="H1070" s="1" t="s">
        <v>765</v>
      </c>
      <c r="I1070" s="1" t="s">
        <v>28</v>
      </c>
      <c r="J1070" s="1" t="s">
        <v>31</v>
      </c>
      <c r="K1070">
        <v>70</v>
      </c>
    </row>
    <row r="1071" spans="1:11" x14ac:dyDescent="0.25">
      <c r="A1071" s="18" t="str">
        <f xml:space="preserve">  MapNameLkup</f>
        <v>m_ofs_trex_ar_invoices</v>
      </c>
      <c r="B1071" s="1" t="s">
        <v>104</v>
      </c>
      <c r="C1071" s="1" t="s">
        <v>105</v>
      </c>
      <c r="D1071" s="1" t="s">
        <v>1</v>
      </c>
      <c r="E1071" s="1" t="s">
        <v>107</v>
      </c>
      <c r="F1071">
        <v>1</v>
      </c>
      <c r="G1071" s="1"/>
      <c r="H1071" s="1" t="s">
        <v>766</v>
      </c>
      <c r="I1071" s="1" t="s">
        <v>28</v>
      </c>
      <c r="J1071" s="1" t="s">
        <v>31</v>
      </c>
      <c r="K1071">
        <v>71</v>
      </c>
    </row>
    <row r="1072" spans="1:11" x14ac:dyDescent="0.25">
      <c r="A1072" s="18" t="str">
        <f xml:space="preserve">  MapNameLkup</f>
        <v>m_ofs_trex_ar_invoices</v>
      </c>
      <c r="B1072" s="1" t="s">
        <v>104</v>
      </c>
      <c r="C1072" s="1" t="s">
        <v>105</v>
      </c>
      <c r="D1072" s="1" t="s">
        <v>1</v>
      </c>
      <c r="E1072" s="1" t="s">
        <v>107</v>
      </c>
      <c r="F1072">
        <v>1</v>
      </c>
      <c r="G1072" s="1"/>
      <c r="H1072" s="1" t="s">
        <v>767</v>
      </c>
      <c r="I1072" s="1" t="s">
        <v>28</v>
      </c>
      <c r="J1072" s="1" t="s">
        <v>31</v>
      </c>
      <c r="K1072">
        <v>72</v>
      </c>
    </row>
    <row r="1073" spans="1:11" x14ac:dyDescent="0.25">
      <c r="A1073" s="18" t="str">
        <f xml:space="preserve">  MapNameLkup</f>
        <v>m_ofs_trex_ar_invoices</v>
      </c>
      <c r="B1073" s="1" t="s">
        <v>104</v>
      </c>
      <c r="C1073" s="1" t="s">
        <v>105</v>
      </c>
      <c r="D1073" s="1" t="s">
        <v>1</v>
      </c>
      <c r="E1073" s="1" t="s">
        <v>107</v>
      </c>
      <c r="F1073">
        <v>1</v>
      </c>
      <c r="G1073" s="1"/>
      <c r="H1073" s="1" t="s">
        <v>768</v>
      </c>
      <c r="I1073" s="1" t="s">
        <v>28</v>
      </c>
      <c r="J1073" s="1" t="s">
        <v>31</v>
      </c>
      <c r="K1073">
        <v>73</v>
      </c>
    </row>
    <row r="1074" spans="1:11" x14ac:dyDescent="0.25">
      <c r="A1074" s="18" t="str">
        <f xml:space="preserve">  MapNameLkup</f>
        <v>m_ofs_trex_ar_invoices</v>
      </c>
      <c r="B1074" s="1" t="s">
        <v>104</v>
      </c>
      <c r="C1074" s="1" t="s">
        <v>105</v>
      </c>
      <c r="D1074" s="1" t="s">
        <v>1</v>
      </c>
      <c r="E1074" s="1" t="s">
        <v>107</v>
      </c>
      <c r="F1074">
        <v>1</v>
      </c>
      <c r="G1074" s="1"/>
      <c r="H1074" s="1" t="s">
        <v>769</v>
      </c>
      <c r="I1074" s="1" t="s">
        <v>28</v>
      </c>
      <c r="J1074" s="1" t="s">
        <v>31</v>
      </c>
      <c r="K1074">
        <v>74</v>
      </c>
    </row>
    <row r="1075" spans="1:11" x14ac:dyDescent="0.25">
      <c r="A1075" s="18" t="str">
        <f xml:space="preserve">  MapNameLkup</f>
        <v>m_ofs_trex_ar_invoices</v>
      </c>
      <c r="B1075" s="1" t="s">
        <v>104</v>
      </c>
      <c r="C1075" s="1" t="s">
        <v>105</v>
      </c>
      <c r="D1075" s="1" t="s">
        <v>1</v>
      </c>
      <c r="E1075" s="1" t="s">
        <v>107</v>
      </c>
      <c r="F1075">
        <v>1</v>
      </c>
      <c r="G1075" s="1"/>
      <c r="H1075" s="1" t="s">
        <v>770</v>
      </c>
      <c r="I1075" s="1" t="s">
        <v>28</v>
      </c>
      <c r="J1075" s="1" t="s">
        <v>31</v>
      </c>
      <c r="K1075">
        <v>75</v>
      </c>
    </row>
    <row r="1076" spans="1:11" x14ac:dyDescent="0.25">
      <c r="A1076" s="18" t="str">
        <f xml:space="preserve">  MapNameLkup</f>
        <v>m_ofs_trex_ar_invoices</v>
      </c>
      <c r="B1076" s="1" t="s">
        <v>104</v>
      </c>
      <c r="C1076" s="1" t="s">
        <v>105</v>
      </c>
      <c r="D1076" s="1" t="s">
        <v>1</v>
      </c>
      <c r="E1076" s="1" t="s">
        <v>107</v>
      </c>
      <c r="F1076">
        <v>1</v>
      </c>
      <c r="G1076" s="1"/>
      <c r="H1076" s="1" t="s">
        <v>771</v>
      </c>
      <c r="I1076" s="1" t="s">
        <v>28</v>
      </c>
      <c r="J1076" s="1" t="s">
        <v>31</v>
      </c>
      <c r="K1076">
        <v>76</v>
      </c>
    </row>
    <row r="1077" spans="1:11" x14ac:dyDescent="0.25">
      <c r="A1077" s="18" t="str">
        <f xml:space="preserve">  MapNameLkup</f>
        <v>m_ofs_trex_ar_invoices</v>
      </c>
      <c r="B1077" s="1" t="s">
        <v>104</v>
      </c>
      <c r="C1077" s="1" t="s">
        <v>105</v>
      </c>
      <c r="D1077" s="1" t="s">
        <v>1</v>
      </c>
      <c r="E1077" s="1" t="s">
        <v>107</v>
      </c>
      <c r="F1077">
        <v>1</v>
      </c>
      <c r="G1077" s="1"/>
      <c r="H1077" s="1" t="s">
        <v>772</v>
      </c>
      <c r="I1077" s="1" t="s">
        <v>28</v>
      </c>
      <c r="J1077" s="1" t="s">
        <v>31</v>
      </c>
      <c r="K1077">
        <v>77</v>
      </c>
    </row>
    <row r="1078" spans="1:11" x14ac:dyDescent="0.25">
      <c r="A1078" s="18" t="str">
        <f xml:space="preserve">  MapNameLkup</f>
        <v>m_ofs_trex_ar_invoices</v>
      </c>
      <c r="B1078" s="1" t="s">
        <v>104</v>
      </c>
      <c r="C1078" s="1" t="s">
        <v>105</v>
      </c>
      <c r="D1078" s="1" t="s">
        <v>1</v>
      </c>
      <c r="E1078" s="1" t="s">
        <v>107</v>
      </c>
      <c r="F1078">
        <v>1</v>
      </c>
      <c r="G1078" s="1"/>
      <c r="H1078" s="1" t="s">
        <v>773</v>
      </c>
      <c r="I1078" s="1" t="s">
        <v>28</v>
      </c>
      <c r="J1078" s="1" t="s">
        <v>31</v>
      </c>
      <c r="K1078">
        <v>78</v>
      </c>
    </row>
    <row r="1079" spans="1:11" x14ac:dyDescent="0.25">
      <c r="A1079" s="18" t="str">
        <f xml:space="preserve">  MapNameLkup</f>
        <v>m_ofs_trex_ar_invoices</v>
      </c>
      <c r="B1079" s="1" t="s">
        <v>104</v>
      </c>
      <c r="C1079" s="1" t="s">
        <v>105</v>
      </c>
      <c r="D1079" s="1" t="s">
        <v>1</v>
      </c>
      <c r="E1079" s="1" t="s">
        <v>107</v>
      </c>
      <c r="F1079">
        <v>1</v>
      </c>
      <c r="G1079" s="1"/>
      <c r="H1079" s="1" t="s">
        <v>774</v>
      </c>
      <c r="I1079" s="1" t="s">
        <v>28</v>
      </c>
      <c r="J1079" s="1" t="s">
        <v>31</v>
      </c>
      <c r="K1079">
        <v>79</v>
      </c>
    </row>
    <row r="1080" spans="1:11" x14ac:dyDescent="0.25">
      <c r="A1080" s="18" t="str">
        <f xml:space="preserve">  MapNameLkup</f>
        <v>m_ofs_trex_ar_invoices</v>
      </c>
      <c r="B1080" s="1" t="s">
        <v>104</v>
      </c>
      <c r="C1080" s="1" t="s">
        <v>105</v>
      </c>
      <c r="D1080" s="1" t="s">
        <v>1</v>
      </c>
      <c r="E1080" s="1" t="s">
        <v>107</v>
      </c>
      <c r="F1080">
        <v>1</v>
      </c>
      <c r="G1080" s="1"/>
      <c r="H1080" s="1" t="s">
        <v>775</v>
      </c>
      <c r="I1080" s="1" t="s">
        <v>28</v>
      </c>
      <c r="J1080" s="1" t="s">
        <v>31</v>
      </c>
      <c r="K1080">
        <v>80</v>
      </c>
    </row>
    <row r="1081" spans="1:11" x14ac:dyDescent="0.25">
      <c r="A1081" s="18" t="str">
        <f xml:space="preserve">  MapNameLkup</f>
        <v>m_ofs_trex_ar_invoices</v>
      </c>
      <c r="B1081" s="1" t="s">
        <v>104</v>
      </c>
      <c r="C1081" s="1" t="s">
        <v>105</v>
      </c>
      <c r="D1081" s="1" t="s">
        <v>1</v>
      </c>
      <c r="E1081" s="1" t="s">
        <v>107</v>
      </c>
      <c r="F1081">
        <v>1</v>
      </c>
      <c r="G1081" s="1"/>
      <c r="H1081" s="1" t="s">
        <v>776</v>
      </c>
      <c r="I1081" s="1" t="s">
        <v>28</v>
      </c>
      <c r="J1081" s="1" t="s">
        <v>31</v>
      </c>
      <c r="K1081">
        <v>81</v>
      </c>
    </row>
    <row r="1082" spans="1:11" x14ac:dyDescent="0.25">
      <c r="A1082" s="18" t="str">
        <f xml:space="preserve">  MapNameLkup</f>
        <v>m_ofs_trex_ar_invoices</v>
      </c>
      <c r="B1082" s="1" t="s">
        <v>104</v>
      </c>
      <c r="C1082" s="1" t="s">
        <v>105</v>
      </c>
      <c r="D1082" s="1" t="s">
        <v>1</v>
      </c>
      <c r="E1082" s="1" t="s">
        <v>107</v>
      </c>
      <c r="F1082">
        <v>1</v>
      </c>
      <c r="G1082" s="1"/>
      <c r="H1082" s="1" t="s">
        <v>777</v>
      </c>
      <c r="I1082" s="1" t="s">
        <v>28</v>
      </c>
      <c r="J1082" s="1" t="s">
        <v>31</v>
      </c>
      <c r="K1082">
        <v>82</v>
      </c>
    </row>
    <row r="1083" spans="1:11" x14ac:dyDescent="0.25">
      <c r="A1083" s="18" t="str">
        <f xml:space="preserve">  MapNameLkup</f>
        <v>m_ofs_trex_ar_invoices</v>
      </c>
      <c r="B1083" s="1" t="s">
        <v>104</v>
      </c>
      <c r="C1083" s="1" t="s">
        <v>105</v>
      </c>
      <c r="D1083" s="1" t="s">
        <v>1</v>
      </c>
      <c r="E1083" s="1" t="s">
        <v>107</v>
      </c>
      <c r="F1083">
        <v>1</v>
      </c>
      <c r="G1083" s="1"/>
      <c r="H1083" s="1" t="s">
        <v>778</v>
      </c>
      <c r="I1083" s="1" t="s">
        <v>28</v>
      </c>
      <c r="J1083" s="1" t="s">
        <v>31</v>
      </c>
      <c r="K1083">
        <v>83</v>
      </c>
    </row>
    <row r="1084" spans="1:11" x14ac:dyDescent="0.25">
      <c r="A1084" s="18" t="str">
        <f xml:space="preserve">  MapNameLkup</f>
        <v>m_ofs_trex_ar_invoices</v>
      </c>
      <c r="B1084" s="1" t="s">
        <v>104</v>
      </c>
      <c r="C1084" s="1" t="s">
        <v>105</v>
      </c>
      <c r="D1084" s="1" t="s">
        <v>1</v>
      </c>
      <c r="E1084" s="1" t="s">
        <v>107</v>
      </c>
      <c r="F1084">
        <v>1</v>
      </c>
      <c r="G1084" s="1"/>
      <c r="H1084" s="1" t="s">
        <v>779</v>
      </c>
      <c r="I1084" s="1" t="s">
        <v>28</v>
      </c>
      <c r="J1084" s="1" t="s">
        <v>31</v>
      </c>
      <c r="K1084">
        <v>84</v>
      </c>
    </row>
    <row r="1085" spans="1:11" x14ac:dyDescent="0.25">
      <c r="A1085" s="18" t="str">
        <f xml:space="preserve">  MapNameLkup</f>
        <v>m_ofs_trex_ar_invoices</v>
      </c>
      <c r="B1085" s="1" t="s">
        <v>104</v>
      </c>
      <c r="C1085" s="1" t="s">
        <v>105</v>
      </c>
      <c r="D1085" s="1" t="s">
        <v>1</v>
      </c>
      <c r="E1085" s="1" t="s">
        <v>107</v>
      </c>
      <c r="F1085">
        <v>1</v>
      </c>
      <c r="G1085" s="1"/>
      <c r="H1085" s="1" t="s">
        <v>780</v>
      </c>
      <c r="I1085" s="1" t="s">
        <v>28</v>
      </c>
      <c r="J1085" s="1" t="s">
        <v>31</v>
      </c>
      <c r="K1085">
        <v>85</v>
      </c>
    </row>
    <row r="1086" spans="1:11" x14ac:dyDescent="0.25">
      <c r="A1086" s="18" t="str">
        <f xml:space="preserve">  MapNameLkup</f>
        <v>m_ofs_trex_ar_invoices</v>
      </c>
      <c r="B1086" s="1" t="s">
        <v>104</v>
      </c>
      <c r="C1086" s="1" t="s">
        <v>105</v>
      </c>
      <c r="D1086" s="1" t="s">
        <v>1</v>
      </c>
      <c r="E1086" s="1" t="s">
        <v>107</v>
      </c>
      <c r="F1086">
        <v>1</v>
      </c>
      <c r="G1086" s="1"/>
      <c r="H1086" s="1" t="s">
        <v>781</v>
      </c>
      <c r="I1086" s="1" t="s">
        <v>28</v>
      </c>
      <c r="J1086" s="1" t="s">
        <v>31</v>
      </c>
      <c r="K1086">
        <v>86</v>
      </c>
    </row>
    <row r="1087" spans="1:11" x14ac:dyDescent="0.25">
      <c r="A1087" s="18" t="str">
        <f xml:space="preserve">  MapNameLkup</f>
        <v>m_ofs_trex_ar_invoices</v>
      </c>
      <c r="B1087" s="1" t="s">
        <v>104</v>
      </c>
      <c r="C1087" s="1" t="s">
        <v>105</v>
      </c>
      <c r="D1087" s="1" t="s">
        <v>1</v>
      </c>
      <c r="E1087" s="1" t="s">
        <v>107</v>
      </c>
      <c r="F1087">
        <v>1</v>
      </c>
      <c r="G1087" s="1"/>
      <c r="H1087" s="1" t="s">
        <v>782</v>
      </c>
      <c r="I1087" s="1" t="s">
        <v>28</v>
      </c>
      <c r="J1087" s="1" t="s">
        <v>31</v>
      </c>
      <c r="K1087">
        <v>87</v>
      </c>
    </row>
    <row r="1088" spans="1:11" x14ac:dyDescent="0.25">
      <c r="A1088" s="18" t="str">
        <f xml:space="preserve">  MapNameLkup</f>
        <v>m_ofs_trex_ar_invoices</v>
      </c>
      <c r="B1088" s="1" t="s">
        <v>104</v>
      </c>
      <c r="C1088" s="1" t="s">
        <v>105</v>
      </c>
      <c r="D1088" s="1" t="s">
        <v>1</v>
      </c>
      <c r="E1088" s="1" t="s">
        <v>107</v>
      </c>
      <c r="F1088">
        <v>1</v>
      </c>
      <c r="G1088" s="1"/>
      <c r="H1088" s="1" t="s">
        <v>783</v>
      </c>
      <c r="I1088" s="1" t="s">
        <v>28</v>
      </c>
      <c r="J1088" s="1" t="s">
        <v>31</v>
      </c>
      <c r="K1088">
        <v>88</v>
      </c>
    </row>
    <row r="1089" spans="1:11" x14ac:dyDescent="0.25">
      <c r="A1089" s="18" t="str">
        <f xml:space="preserve">  MapNameLkup</f>
        <v>m_ofs_trex_ar_invoices</v>
      </c>
      <c r="B1089" s="1" t="s">
        <v>104</v>
      </c>
      <c r="C1089" s="1" t="s">
        <v>105</v>
      </c>
      <c r="D1089" s="1" t="s">
        <v>1</v>
      </c>
      <c r="E1089" s="1" t="s">
        <v>107</v>
      </c>
      <c r="F1089">
        <v>1</v>
      </c>
      <c r="G1089" s="1"/>
      <c r="H1089" s="1" t="s">
        <v>784</v>
      </c>
      <c r="I1089" s="1" t="s">
        <v>28</v>
      </c>
      <c r="J1089" s="1" t="s">
        <v>31</v>
      </c>
      <c r="K1089">
        <v>89</v>
      </c>
    </row>
    <row r="1090" spans="1:11" x14ac:dyDescent="0.25">
      <c r="A1090" s="18" t="str">
        <f xml:space="preserve">  MapNameLkup</f>
        <v>m_ofs_trex_ar_invoices</v>
      </c>
      <c r="B1090" s="1" t="s">
        <v>104</v>
      </c>
      <c r="C1090" s="1" t="s">
        <v>105</v>
      </c>
      <c r="D1090" s="1" t="s">
        <v>1</v>
      </c>
      <c r="E1090" s="1" t="s">
        <v>107</v>
      </c>
      <c r="F1090">
        <v>1</v>
      </c>
      <c r="G1090" s="1"/>
      <c r="H1090" s="1" t="s">
        <v>785</v>
      </c>
      <c r="I1090" s="1" t="s">
        <v>28</v>
      </c>
      <c r="J1090" s="1" t="s">
        <v>31</v>
      </c>
      <c r="K1090">
        <v>90</v>
      </c>
    </row>
    <row r="1091" spans="1:11" x14ac:dyDescent="0.25">
      <c r="A1091" s="18" t="str">
        <f xml:space="preserve">  MapNameLkup</f>
        <v>m_ofs_trex_ar_invoices</v>
      </c>
      <c r="B1091" s="1" t="s">
        <v>104</v>
      </c>
      <c r="C1091" s="1" t="s">
        <v>105</v>
      </c>
      <c r="D1091" s="1" t="s">
        <v>1</v>
      </c>
      <c r="E1091" s="1" t="s">
        <v>107</v>
      </c>
      <c r="F1091">
        <v>1</v>
      </c>
      <c r="G1091" s="1"/>
      <c r="H1091" s="1" t="s">
        <v>160</v>
      </c>
      <c r="I1091" s="1" t="s">
        <v>28</v>
      </c>
      <c r="J1091" s="1" t="s">
        <v>32</v>
      </c>
      <c r="K1091">
        <v>91</v>
      </c>
    </row>
    <row r="1092" spans="1:11" x14ac:dyDescent="0.25">
      <c r="A1092" s="18" t="str">
        <f xml:space="preserve">  MapNameLkup</f>
        <v>m_ofs_trex_ar_invoices</v>
      </c>
      <c r="B1092" s="1" t="s">
        <v>104</v>
      </c>
      <c r="C1092" s="1" t="s">
        <v>105</v>
      </c>
      <c r="D1092" s="1" t="s">
        <v>1</v>
      </c>
      <c r="E1092" s="1" t="s">
        <v>107</v>
      </c>
      <c r="F1092">
        <v>1</v>
      </c>
      <c r="G1092" s="1"/>
      <c r="H1092" s="1" t="s">
        <v>786</v>
      </c>
      <c r="I1092" s="1" t="s">
        <v>28</v>
      </c>
      <c r="J1092" s="1" t="s">
        <v>31</v>
      </c>
      <c r="K1092">
        <v>92</v>
      </c>
    </row>
    <row r="1093" spans="1:11" x14ac:dyDescent="0.25">
      <c r="A1093" s="18" t="str">
        <f xml:space="preserve">  MapNameLkup</f>
        <v>m_ofs_trex_ar_invoices</v>
      </c>
      <c r="B1093" s="1" t="s">
        <v>104</v>
      </c>
      <c r="C1093" s="1" t="s">
        <v>105</v>
      </c>
      <c r="D1093" s="1" t="s">
        <v>1</v>
      </c>
      <c r="E1093" s="1" t="s">
        <v>107</v>
      </c>
      <c r="F1093">
        <v>1</v>
      </c>
      <c r="G1093" s="1"/>
      <c r="H1093" s="1" t="s">
        <v>787</v>
      </c>
      <c r="I1093" s="1" t="s">
        <v>28</v>
      </c>
      <c r="J1093" s="1" t="s">
        <v>31</v>
      </c>
      <c r="K1093">
        <v>93</v>
      </c>
    </row>
    <row r="1094" spans="1:11" x14ac:dyDescent="0.25">
      <c r="A1094" s="18" t="str">
        <f xml:space="preserve">  MapNameLkup</f>
        <v>m_ofs_trex_ar_invoices</v>
      </c>
      <c r="B1094" s="1" t="s">
        <v>104</v>
      </c>
      <c r="C1094" s="1" t="s">
        <v>105</v>
      </c>
      <c r="D1094" s="1" t="s">
        <v>1</v>
      </c>
      <c r="E1094" s="1" t="s">
        <v>107</v>
      </c>
      <c r="F1094">
        <v>1</v>
      </c>
      <c r="G1094" s="1"/>
      <c r="H1094" s="1" t="s">
        <v>788</v>
      </c>
      <c r="I1094" s="1" t="s">
        <v>28</v>
      </c>
      <c r="J1094" s="1" t="s">
        <v>31</v>
      </c>
      <c r="K1094">
        <v>94</v>
      </c>
    </row>
    <row r="1095" spans="1:11" x14ac:dyDescent="0.25">
      <c r="A1095" s="18" t="str">
        <f xml:space="preserve">  MapNameLkup</f>
        <v>m_ofs_trex_ar_invoices</v>
      </c>
      <c r="B1095" s="1" t="s">
        <v>104</v>
      </c>
      <c r="C1095" s="1" t="s">
        <v>105</v>
      </c>
      <c r="D1095" s="1" t="s">
        <v>1</v>
      </c>
      <c r="E1095" s="1" t="s">
        <v>107</v>
      </c>
      <c r="F1095">
        <v>1</v>
      </c>
      <c r="G1095" s="1"/>
      <c r="H1095" s="1" t="s">
        <v>789</v>
      </c>
      <c r="I1095" s="1" t="s">
        <v>28</v>
      </c>
      <c r="J1095" s="1" t="s">
        <v>31</v>
      </c>
      <c r="K1095">
        <v>95</v>
      </c>
    </row>
    <row r="1096" spans="1:11" x14ac:dyDescent="0.25">
      <c r="A1096" s="18" t="str">
        <f xml:space="preserve">  MapNameLkup</f>
        <v>m_ofs_trex_ar_invoices</v>
      </c>
      <c r="B1096" s="1" t="s">
        <v>104</v>
      </c>
      <c r="C1096" s="1" t="s">
        <v>105</v>
      </c>
      <c r="D1096" s="1" t="s">
        <v>1</v>
      </c>
      <c r="E1096" s="1" t="s">
        <v>107</v>
      </c>
      <c r="F1096">
        <v>1</v>
      </c>
      <c r="G1096" s="1"/>
      <c r="H1096" s="1" t="s">
        <v>790</v>
      </c>
      <c r="I1096" s="1" t="s">
        <v>28</v>
      </c>
      <c r="J1096" s="1" t="s">
        <v>31</v>
      </c>
      <c r="K1096">
        <v>96</v>
      </c>
    </row>
    <row r="1097" spans="1:11" x14ac:dyDescent="0.25">
      <c r="A1097" s="18" t="str">
        <f xml:space="preserve">  MapNameLkup</f>
        <v>m_ofs_trex_ar_invoices</v>
      </c>
      <c r="B1097" s="1" t="s">
        <v>104</v>
      </c>
      <c r="C1097" s="1" t="s">
        <v>105</v>
      </c>
      <c r="D1097" s="1" t="s">
        <v>1</v>
      </c>
      <c r="E1097" s="1" t="s">
        <v>107</v>
      </c>
      <c r="F1097">
        <v>1</v>
      </c>
      <c r="G1097" s="1"/>
      <c r="H1097" s="1" t="s">
        <v>791</v>
      </c>
      <c r="I1097" s="1" t="s">
        <v>28</v>
      </c>
      <c r="J1097" s="1" t="s">
        <v>31</v>
      </c>
      <c r="K1097">
        <v>97</v>
      </c>
    </row>
    <row r="1098" spans="1:11" x14ac:dyDescent="0.25">
      <c r="A1098" s="18" t="str">
        <f xml:space="preserve">  MapNameLkup</f>
        <v>m_ofs_trex_ar_invoices</v>
      </c>
      <c r="B1098" s="1" t="s">
        <v>104</v>
      </c>
      <c r="C1098" s="1" t="s">
        <v>105</v>
      </c>
      <c r="D1098" s="1" t="s">
        <v>1</v>
      </c>
      <c r="E1098" s="1" t="s">
        <v>107</v>
      </c>
      <c r="F1098">
        <v>1</v>
      </c>
      <c r="G1098" s="1"/>
      <c r="H1098" s="1" t="s">
        <v>523</v>
      </c>
      <c r="I1098" s="1" t="s">
        <v>28</v>
      </c>
      <c r="J1098" s="1" t="s">
        <v>31</v>
      </c>
      <c r="K1098">
        <v>98</v>
      </c>
    </row>
    <row r="1099" spans="1:11" x14ac:dyDescent="0.25">
      <c r="A1099" s="18" t="str">
        <f xml:space="preserve">  MapNameLkup</f>
        <v>m_ofs_trex_ar_invoices</v>
      </c>
      <c r="B1099" s="1" t="s">
        <v>104</v>
      </c>
      <c r="C1099" s="1" t="s">
        <v>105</v>
      </c>
      <c r="D1099" s="1" t="s">
        <v>1</v>
      </c>
      <c r="E1099" s="1" t="s">
        <v>107</v>
      </c>
      <c r="F1099">
        <v>1</v>
      </c>
      <c r="G1099" s="1"/>
      <c r="H1099" s="1" t="s">
        <v>792</v>
      </c>
      <c r="I1099" s="1" t="s">
        <v>28</v>
      </c>
      <c r="J1099" s="1" t="s">
        <v>31</v>
      </c>
      <c r="K1099">
        <v>99</v>
      </c>
    </row>
    <row r="1100" spans="1:11" x14ac:dyDescent="0.25">
      <c r="A1100" s="18" t="str">
        <f xml:space="preserve">  MapNameLkup</f>
        <v>m_ofs_trex_ar_invoices</v>
      </c>
      <c r="B1100" s="1" t="s">
        <v>104</v>
      </c>
      <c r="C1100" s="1" t="s">
        <v>105</v>
      </c>
      <c r="D1100" s="1" t="s">
        <v>1</v>
      </c>
      <c r="E1100" s="1" t="s">
        <v>107</v>
      </c>
      <c r="F1100">
        <v>1</v>
      </c>
      <c r="G1100" s="1"/>
      <c r="H1100" s="1" t="s">
        <v>793</v>
      </c>
      <c r="I1100" s="1" t="s">
        <v>28</v>
      </c>
      <c r="J1100" s="1" t="s">
        <v>31</v>
      </c>
      <c r="K1100">
        <v>100</v>
      </c>
    </row>
    <row r="1101" spans="1:11" x14ac:dyDescent="0.25">
      <c r="A1101" s="18" t="str">
        <f xml:space="preserve">  MapNameLkup</f>
        <v>m_ofs_trex_ar_invoices</v>
      </c>
      <c r="B1101" s="1" t="s">
        <v>104</v>
      </c>
      <c r="C1101" s="1" t="s">
        <v>105</v>
      </c>
      <c r="D1101" s="1" t="s">
        <v>1</v>
      </c>
      <c r="E1101" s="1" t="s">
        <v>107</v>
      </c>
      <c r="F1101">
        <v>1</v>
      </c>
      <c r="G1101" s="1"/>
      <c r="H1101" s="1" t="s">
        <v>794</v>
      </c>
      <c r="I1101" s="1" t="s">
        <v>28</v>
      </c>
      <c r="J1101" s="1" t="s">
        <v>31</v>
      </c>
      <c r="K1101">
        <v>101</v>
      </c>
    </row>
    <row r="1102" spans="1:11" x14ac:dyDescent="0.25">
      <c r="A1102" s="18" t="str">
        <f xml:space="preserve">  MapNameLkup</f>
        <v>m_ofs_trex_ar_invoices</v>
      </c>
      <c r="B1102" s="1" t="s">
        <v>104</v>
      </c>
      <c r="C1102" s="1" t="s">
        <v>105</v>
      </c>
      <c r="D1102" s="1" t="s">
        <v>1</v>
      </c>
      <c r="E1102" s="1" t="s">
        <v>107</v>
      </c>
      <c r="F1102">
        <v>1</v>
      </c>
      <c r="G1102" s="1"/>
      <c r="H1102" s="1" t="s">
        <v>795</v>
      </c>
      <c r="I1102" s="1" t="s">
        <v>28</v>
      </c>
      <c r="J1102" s="1" t="s">
        <v>31</v>
      </c>
      <c r="K1102">
        <v>102</v>
      </c>
    </row>
    <row r="1103" spans="1:11" x14ac:dyDescent="0.25">
      <c r="A1103" s="18" t="str">
        <f xml:space="preserve">  MapNameLkup</f>
        <v>m_ofs_trex_ar_invoices</v>
      </c>
      <c r="B1103" s="1" t="s">
        <v>104</v>
      </c>
      <c r="C1103" s="1" t="s">
        <v>105</v>
      </c>
      <c r="D1103" s="1" t="s">
        <v>1</v>
      </c>
      <c r="E1103" s="1" t="s">
        <v>107</v>
      </c>
      <c r="F1103">
        <v>1</v>
      </c>
      <c r="G1103" s="1"/>
      <c r="H1103" s="1" t="s">
        <v>796</v>
      </c>
      <c r="I1103" s="1" t="s">
        <v>28</v>
      </c>
      <c r="J1103" s="1" t="s">
        <v>31</v>
      </c>
      <c r="K1103">
        <v>103</v>
      </c>
    </row>
    <row r="1104" spans="1:11" x14ac:dyDescent="0.25">
      <c r="A1104" s="18" t="str">
        <f xml:space="preserve">  MapNameLkup</f>
        <v>m_ofs_trex_ar_invoices</v>
      </c>
      <c r="B1104" s="1" t="s">
        <v>104</v>
      </c>
      <c r="C1104" s="1" t="s">
        <v>105</v>
      </c>
      <c r="D1104" s="1" t="s">
        <v>1</v>
      </c>
      <c r="E1104" s="1" t="s">
        <v>107</v>
      </c>
      <c r="F1104">
        <v>1</v>
      </c>
      <c r="G1104" s="1"/>
      <c r="H1104" s="1" t="s">
        <v>797</v>
      </c>
      <c r="I1104" s="1" t="s">
        <v>28</v>
      </c>
      <c r="J1104" s="1" t="s">
        <v>31</v>
      </c>
      <c r="K1104">
        <v>104</v>
      </c>
    </row>
    <row r="1105" spans="1:11" x14ac:dyDescent="0.25">
      <c r="A1105" s="18" t="str">
        <f xml:space="preserve">  MapNameLkup</f>
        <v>m_ofs_trex_ar_invoices</v>
      </c>
      <c r="B1105" s="1" t="s">
        <v>104</v>
      </c>
      <c r="C1105" s="1" t="s">
        <v>105</v>
      </c>
      <c r="D1105" s="1" t="s">
        <v>1</v>
      </c>
      <c r="E1105" s="1" t="s">
        <v>107</v>
      </c>
      <c r="F1105">
        <v>1</v>
      </c>
      <c r="G1105" s="1"/>
      <c r="H1105" s="1" t="s">
        <v>798</v>
      </c>
      <c r="I1105" s="1" t="s">
        <v>28</v>
      </c>
      <c r="J1105" s="1" t="s">
        <v>31</v>
      </c>
      <c r="K1105">
        <v>105</v>
      </c>
    </row>
    <row r="1106" spans="1:11" x14ac:dyDescent="0.25">
      <c r="A1106" s="18" t="str">
        <f xml:space="preserve">  MapNameLkup</f>
        <v>m_ofs_trex_ar_invoices</v>
      </c>
      <c r="B1106" s="1" t="s">
        <v>104</v>
      </c>
      <c r="C1106" s="1" t="s">
        <v>105</v>
      </c>
      <c r="D1106" s="1" t="s">
        <v>1</v>
      </c>
      <c r="E1106" s="1" t="s">
        <v>107</v>
      </c>
      <c r="F1106">
        <v>1</v>
      </c>
      <c r="G1106" s="1"/>
      <c r="H1106" s="1" t="s">
        <v>799</v>
      </c>
      <c r="I1106" s="1" t="s">
        <v>28</v>
      </c>
      <c r="J1106" s="1" t="s">
        <v>31</v>
      </c>
      <c r="K1106">
        <v>106</v>
      </c>
    </row>
    <row r="1107" spans="1:11" x14ac:dyDescent="0.25">
      <c r="A1107" s="18" t="str">
        <f xml:space="preserve">  MapNameLkup</f>
        <v>m_ofs_trex_ar_invoices</v>
      </c>
      <c r="B1107" s="1" t="s">
        <v>104</v>
      </c>
      <c r="C1107" s="1" t="s">
        <v>105</v>
      </c>
      <c r="D1107" s="1" t="s">
        <v>1</v>
      </c>
      <c r="E1107" s="1" t="s">
        <v>107</v>
      </c>
      <c r="F1107">
        <v>1</v>
      </c>
      <c r="G1107" s="1"/>
      <c r="H1107" s="1" t="s">
        <v>800</v>
      </c>
      <c r="I1107" s="1" t="s">
        <v>28</v>
      </c>
      <c r="J1107" s="1" t="s">
        <v>31</v>
      </c>
      <c r="K1107">
        <v>107</v>
      </c>
    </row>
    <row r="1108" spans="1:11" x14ac:dyDescent="0.25">
      <c r="A1108" s="18" t="str">
        <f xml:space="preserve">  MapNameLkup</f>
        <v>m_ofs_trex_ar_invoices</v>
      </c>
      <c r="B1108" s="1" t="s">
        <v>104</v>
      </c>
      <c r="C1108" s="1" t="s">
        <v>105</v>
      </c>
      <c r="D1108" s="1" t="s">
        <v>1</v>
      </c>
      <c r="E1108" s="1" t="s">
        <v>107</v>
      </c>
      <c r="F1108">
        <v>1</v>
      </c>
      <c r="G1108" s="1"/>
      <c r="H1108" s="1" t="s">
        <v>801</v>
      </c>
      <c r="I1108" s="1" t="s">
        <v>28</v>
      </c>
      <c r="J1108" s="1" t="s">
        <v>31</v>
      </c>
      <c r="K1108">
        <v>108</v>
      </c>
    </row>
    <row r="1109" spans="1:11" x14ac:dyDescent="0.25">
      <c r="A1109" s="18" t="str">
        <f xml:space="preserve">  MapNameLkup</f>
        <v>m_ofs_trex_ar_invoices</v>
      </c>
      <c r="B1109" s="1" t="s">
        <v>104</v>
      </c>
      <c r="C1109" s="1" t="s">
        <v>105</v>
      </c>
      <c r="D1109" s="1" t="s">
        <v>1</v>
      </c>
      <c r="E1109" s="1" t="s">
        <v>107</v>
      </c>
      <c r="F1109">
        <v>1</v>
      </c>
      <c r="G1109" s="1"/>
      <c r="H1109" s="1" t="s">
        <v>802</v>
      </c>
      <c r="I1109" s="1" t="s">
        <v>28</v>
      </c>
      <c r="J1109" s="1" t="s">
        <v>31</v>
      </c>
      <c r="K1109">
        <v>109</v>
      </c>
    </row>
    <row r="1110" spans="1:11" x14ac:dyDescent="0.25">
      <c r="A1110" s="18" t="str">
        <f xml:space="preserve">  MapNameLkup</f>
        <v>m_ofs_trex_ar_invoices</v>
      </c>
      <c r="B1110" s="1" t="s">
        <v>104</v>
      </c>
      <c r="C1110" s="1" t="s">
        <v>105</v>
      </c>
      <c r="D1110" s="1" t="s">
        <v>1</v>
      </c>
      <c r="E1110" s="1" t="s">
        <v>107</v>
      </c>
      <c r="F1110">
        <v>1</v>
      </c>
      <c r="G1110" s="1"/>
      <c r="H1110" s="1" t="s">
        <v>803</v>
      </c>
      <c r="I1110" s="1" t="s">
        <v>28</v>
      </c>
      <c r="J1110" s="1" t="s">
        <v>31</v>
      </c>
      <c r="K1110">
        <v>110</v>
      </c>
    </row>
    <row r="1111" spans="1:11" x14ac:dyDescent="0.25">
      <c r="A1111" s="18" t="str">
        <f xml:space="preserve">  MapNameLkup</f>
        <v>m_ofs_trex_ar_invoices</v>
      </c>
      <c r="B1111" s="1" t="s">
        <v>104</v>
      </c>
      <c r="C1111" s="1" t="s">
        <v>105</v>
      </c>
      <c r="D1111" s="1" t="s">
        <v>1</v>
      </c>
      <c r="E1111" s="1" t="s">
        <v>107</v>
      </c>
      <c r="F1111">
        <v>1</v>
      </c>
      <c r="G1111" s="1"/>
      <c r="H1111" s="1" t="s">
        <v>804</v>
      </c>
      <c r="I1111" s="1" t="s">
        <v>28</v>
      </c>
      <c r="J1111" s="1" t="s">
        <v>31</v>
      </c>
      <c r="K1111">
        <v>111</v>
      </c>
    </row>
    <row r="1112" spans="1:11" x14ac:dyDescent="0.25">
      <c r="A1112" s="18" t="str">
        <f xml:space="preserve">  MapNameLkup</f>
        <v>m_ofs_trex_ar_invoices</v>
      </c>
      <c r="B1112" s="1" t="s">
        <v>104</v>
      </c>
      <c r="C1112" s="1" t="s">
        <v>105</v>
      </c>
      <c r="D1112" s="1" t="s">
        <v>1</v>
      </c>
      <c r="E1112" s="1" t="s">
        <v>107</v>
      </c>
      <c r="F1112">
        <v>1</v>
      </c>
      <c r="G1112" s="1"/>
      <c r="H1112" s="1" t="s">
        <v>805</v>
      </c>
      <c r="I1112" s="1" t="s">
        <v>28</v>
      </c>
      <c r="J1112" s="1" t="s">
        <v>31</v>
      </c>
      <c r="K1112">
        <v>112</v>
      </c>
    </row>
    <row r="1113" spans="1:11" x14ac:dyDescent="0.25">
      <c r="A1113" s="18" t="str">
        <f xml:space="preserve">  MapNameLkup</f>
        <v>m_ofs_trex_ar_invoices</v>
      </c>
      <c r="B1113" s="1" t="s">
        <v>104</v>
      </c>
      <c r="C1113" s="1" t="s">
        <v>105</v>
      </c>
      <c r="D1113" s="1" t="s">
        <v>1</v>
      </c>
      <c r="E1113" s="1" t="s">
        <v>107</v>
      </c>
      <c r="F1113">
        <v>1</v>
      </c>
      <c r="G1113" s="1"/>
      <c r="H1113" s="1" t="s">
        <v>806</v>
      </c>
      <c r="I1113" s="1" t="s">
        <v>28</v>
      </c>
      <c r="J1113" s="1" t="s">
        <v>31</v>
      </c>
      <c r="K1113">
        <v>113</v>
      </c>
    </row>
    <row r="1114" spans="1:11" x14ac:dyDescent="0.25">
      <c r="A1114" s="18" t="str">
        <f xml:space="preserve">  MapNameLkup</f>
        <v>m_ofs_trex_ar_invoices</v>
      </c>
      <c r="B1114" s="1" t="s">
        <v>104</v>
      </c>
      <c r="C1114" s="1" t="s">
        <v>105</v>
      </c>
      <c r="D1114" s="1" t="s">
        <v>1</v>
      </c>
      <c r="E1114" s="1" t="s">
        <v>107</v>
      </c>
      <c r="F1114">
        <v>1</v>
      </c>
      <c r="G1114" s="1"/>
      <c r="H1114" s="1" t="s">
        <v>807</v>
      </c>
      <c r="I1114" s="1" t="s">
        <v>28</v>
      </c>
      <c r="J1114" s="1" t="s">
        <v>31</v>
      </c>
      <c r="K1114">
        <v>114</v>
      </c>
    </row>
    <row r="1115" spans="1:11" x14ac:dyDescent="0.25">
      <c r="A1115" s="18" t="str">
        <f xml:space="preserve">  MapNameLkup</f>
        <v>m_ofs_trex_ar_invoices</v>
      </c>
      <c r="B1115" s="1" t="s">
        <v>104</v>
      </c>
      <c r="C1115" s="1" t="s">
        <v>105</v>
      </c>
      <c r="D1115" s="1" t="s">
        <v>1</v>
      </c>
      <c r="E1115" s="1" t="s">
        <v>107</v>
      </c>
      <c r="F1115">
        <v>1</v>
      </c>
      <c r="G1115" s="1"/>
      <c r="H1115" s="1" t="s">
        <v>808</v>
      </c>
      <c r="I1115" s="1" t="s">
        <v>28</v>
      </c>
      <c r="J1115" s="1" t="s">
        <v>31</v>
      </c>
      <c r="K1115">
        <v>115</v>
      </c>
    </row>
    <row r="1116" spans="1:11" x14ac:dyDescent="0.25">
      <c r="A1116" s="18" t="str">
        <f xml:space="preserve">  MapNameLkup</f>
        <v>m_ofs_trex_ar_invoices</v>
      </c>
      <c r="B1116" s="1" t="s">
        <v>104</v>
      </c>
      <c r="C1116" s="1" t="s">
        <v>105</v>
      </c>
      <c r="D1116" s="1" t="s">
        <v>1</v>
      </c>
      <c r="E1116" s="1" t="s">
        <v>107</v>
      </c>
      <c r="F1116">
        <v>1</v>
      </c>
      <c r="G1116" s="1"/>
      <c r="H1116" s="1" t="s">
        <v>809</v>
      </c>
      <c r="I1116" s="1" t="s">
        <v>28</v>
      </c>
      <c r="J1116" s="1" t="s">
        <v>31</v>
      </c>
      <c r="K1116">
        <v>116</v>
      </c>
    </row>
    <row r="1117" spans="1:11" x14ac:dyDescent="0.25">
      <c r="A1117" s="18" t="str">
        <f xml:space="preserve">  MapNameLkup</f>
        <v>m_ofs_trex_ar_invoices</v>
      </c>
      <c r="B1117" s="1" t="s">
        <v>104</v>
      </c>
      <c r="C1117" s="1" t="s">
        <v>105</v>
      </c>
      <c r="D1117" s="1" t="s">
        <v>1</v>
      </c>
      <c r="E1117" s="1" t="s">
        <v>107</v>
      </c>
      <c r="F1117">
        <v>1</v>
      </c>
      <c r="G1117" s="1"/>
      <c r="H1117" s="1" t="s">
        <v>810</v>
      </c>
      <c r="I1117" s="1" t="s">
        <v>28</v>
      </c>
      <c r="J1117" s="1" t="s">
        <v>31</v>
      </c>
      <c r="K1117">
        <v>117</v>
      </c>
    </row>
    <row r="1118" spans="1:11" x14ac:dyDescent="0.25">
      <c r="A1118" s="18" t="str">
        <f xml:space="preserve">  MapNameLkup</f>
        <v>m_ofs_trex_ar_invoices</v>
      </c>
      <c r="B1118" s="1" t="s">
        <v>104</v>
      </c>
      <c r="C1118" s="1" t="s">
        <v>105</v>
      </c>
      <c r="D1118" s="1" t="s">
        <v>1</v>
      </c>
      <c r="E1118" s="1" t="s">
        <v>107</v>
      </c>
      <c r="F1118">
        <v>1</v>
      </c>
      <c r="G1118" s="1"/>
      <c r="H1118" s="1" t="s">
        <v>811</v>
      </c>
      <c r="I1118" s="1" t="s">
        <v>28</v>
      </c>
      <c r="J1118" s="1" t="s">
        <v>31</v>
      </c>
      <c r="K1118">
        <v>118</v>
      </c>
    </row>
    <row r="1119" spans="1:11" x14ac:dyDescent="0.25">
      <c r="A1119" s="18" t="str">
        <f xml:space="preserve">  MapNameLkup</f>
        <v>m_ofs_trex_ar_invoices</v>
      </c>
      <c r="B1119" s="1" t="s">
        <v>104</v>
      </c>
      <c r="C1119" s="1" t="s">
        <v>105</v>
      </c>
      <c r="D1119" s="1" t="s">
        <v>1</v>
      </c>
      <c r="E1119" s="1" t="s">
        <v>107</v>
      </c>
      <c r="F1119">
        <v>1</v>
      </c>
      <c r="G1119" s="1"/>
      <c r="H1119" s="1" t="s">
        <v>812</v>
      </c>
      <c r="I1119" s="1" t="s">
        <v>28</v>
      </c>
      <c r="J1119" s="1" t="s">
        <v>31</v>
      </c>
      <c r="K1119">
        <v>119</v>
      </c>
    </row>
    <row r="1120" spans="1:11" x14ac:dyDescent="0.25">
      <c r="A1120" s="18" t="str">
        <f xml:space="preserve">  MapNameLkup</f>
        <v>m_ofs_trex_ar_invoices</v>
      </c>
      <c r="B1120" s="1" t="s">
        <v>104</v>
      </c>
      <c r="C1120" s="1" t="s">
        <v>105</v>
      </c>
      <c r="D1120" s="1" t="s">
        <v>1</v>
      </c>
      <c r="E1120" s="1" t="s">
        <v>107</v>
      </c>
      <c r="F1120">
        <v>1</v>
      </c>
      <c r="G1120" s="1"/>
      <c r="H1120" s="1" t="s">
        <v>813</v>
      </c>
      <c r="I1120" s="1" t="s">
        <v>28</v>
      </c>
      <c r="J1120" s="1" t="s">
        <v>31</v>
      </c>
      <c r="K1120">
        <v>120</v>
      </c>
    </row>
    <row r="1121" spans="1:11" x14ac:dyDescent="0.25">
      <c r="A1121" s="18" t="str">
        <f xml:space="preserve">  MapNameLkup</f>
        <v>m_ofs_trex_ar_invoices</v>
      </c>
      <c r="B1121" s="1" t="s">
        <v>104</v>
      </c>
      <c r="C1121" s="1" t="s">
        <v>105</v>
      </c>
      <c r="D1121" s="1" t="s">
        <v>1</v>
      </c>
      <c r="E1121" s="1" t="s">
        <v>107</v>
      </c>
      <c r="F1121">
        <v>1</v>
      </c>
      <c r="G1121" s="1"/>
      <c r="H1121" s="1" t="s">
        <v>814</v>
      </c>
      <c r="I1121" s="1" t="s">
        <v>28</v>
      </c>
      <c r="J1121" s="1" t="s">
        <v>31</v>
      </c>
      <c r="K1121">
        <v>121</v>
      </c>
    </row>
    <row r="1122" spans="1:11" x14ac:dyDescent="0.25">
      <c r="A1122" s="18" t="str">
        <f xml:space="preserve">  MapNameLkup</f>
        <v>m_ofs_trex_ar_invoices</v>
      </c>
      <c r="B1122" s="1" t="s">
        <v>104</v>
      </c>
      <c r="C1122" s="1" t="s">
        <v>105</v>
      </c>
      <c r="D1122" s="1" t="s">
        <v>1</v>
      </c>
      <c r="E1122" s="1" t="s">
        <v>107</v>
      </c>
      <c r="F1122">
        <v>1</v>
      </c>
      <c r="G1122" s="1"/>
      <c r="H1122" s="1" t="s">
        <v>815</v>
      </c>
      <c r="I1122" s="1" t="s">
        <v>28</v>
      </c>
      <c r="J1122" s="1" t="s">
        <v>31</v>
      </c>
      <c r="K1122">
        <v>122</v>
      </c>
    </row>
    <row r="1123" spans="1:11" x14ac:dyDescent="0.25">
      <c r="A1123" s="18" t="str">
        <f xml:space="preserve">  MapNameLkup</f>
        <v>m_ofs_trex_ar_invoices</v>
      </c>
      <c r="B1123" s="1" t="s">
        <v>104</v>
      </c>
      <c r="C1123" s="1" t="s">
        <v>105</v>
      </c>
      <c r="D1123" s="1" t="s">
        <v>1</v>
      </c>
      <c r="E1123" s="1" t="s">
        <v>107</v>
      </c>
      <c r="F1123">
        <v>1</v>
      </c>
      <c r="G1123" s="1"/>
      <c r="H1123" s="1" t="s">
        <v>816</v>
      </c>
      <c r="I1123" s="1" t="s">
        <v>28</v>
      </c>
      <c r="J1123" s="1" t="s">
        <v>31</v>
      </c>
      <c r="K1123">
        <v>123</v>
      </c>
    </row>
    <row r="1124" spans="1:11" x14ac:dyDescent="0.25">
      <c r="A1124" s="18" t="str">
        <f xml:space="preserve">  MapNameLkup</f>
        <v>m_ofs_trex_ar_invoices</v>
      </c>
      <c r="B1124" s="1" t="s">
        <v>104</v>
      </c>
      <c r="C1124" s="1" t="s">
        <v>105</v>
      </c>
      <c r="D1124" s="1" t="s">
        <v>1</v>
      </c>
      <c r="E1124" s="1" t="s">
        <v>107</v>
      </c>
      <c r="F1124">
        <v>1</v>
      </c>
      <c r="G1124" s="1"/>
      <c r="H1124" s="1" t="s">
        <v>817</v>
      </c>
      <c r="I1124" s="1" t="s">
        <v>28</v>
      </c>
      <c r="J1124" s="1" t="s">
        <v>31</v>
      </c>
      <c r="K1124">
        <v>124</v>
      </c>
    </row>
    <row r="1125" spans="1:11" x14ac:dyDescent="0.25">
      <c r="A1125" s="18" t="str">
        <f xml:space="preserve">  MapNameLkup</f>
        <v>m_ofs_trex_ar_invoices</v>
      </c>
      <c r="B1125" s="1" t="s">
        <v>104</v>
      </c>
      <c r="C1125" s="1" t="s">
        <v>105</v>
      </c>
      <c r="D1125" s="1" t="s">
        <v>1</v>
      </c>
      <c r="E1125" s="1" t="s">
        <v>107</v>
      </c>
      <c r="F1125">
        <v>1</v>
      </c>
      <c r="G1125" s="1"/>
      <c r="H1125" s="1" t="s">
        <v>818</v>
      </c>
      <c r="I1125" s="1" t="s">
        <v>28</v>
      </c>
      <c r="J1125" s="1" t="s">
        <v>31</v>
      </c>
      <c r="K1125">
        <v>125</v>
      </c>
    </row>
    <row r="1126" spans="1:11" x14ac:dyDescent="0.25">
      <c r="A1126" s="18" t="str">
        <f xml:space="preserve">  MapNameLkup</f>
        <v>m_ofs_trex_ar_invoices</v>
      </c>
      <c r="B1126" s="1" t="s">
        <v>104</v>
      </c>
      <c r="C1126" s="1" t="s">
        <v>105</v>
      </c>
      <c r="D1126" s="1" t="s">
        <v>1</v>
      </c>
      <c r="E1126" s="1" t="s">
        <v>107</v>
      </c>
      <c r="F1126">
        <v>1</v>
      </c>
      <c r="G1126" s="1"/>
      <c r="H1126" s="1" t="s">
        <v>819</v>
      </c>
      <c r="I1126" s="1" t="s">
        <v>28</v>
      </c>
      <c r="J1126" s="1" t="s">
        <v>31</v>
      </c>
      <c r="K1126">
        <v>126</v>
      </c>
    </row>
    <row r="1127" spans="1:11" x14ac:dyDescent="0.25">
      <c r="A1127" s="18" t="str">
        <f xml:space="preserve">  MapNameLkup</f>
        <v>m_ofs_trex_ar_invoices</v>
      </c>
      <c r="B1127" s="1" t="s">
        <v>104</v>
      </c>
      <c r="C1127" s="1" t="s">
        <v>105</v>
      </c>
      <c r="D1127" s="1" t="s">
        <v>1</v>
      </c>
      <c r="E1127" s="1" t="s">
        <v>107</v>
      </c>
      <c r="F1127">
        <v>1</v>
      </c>
      <c r="G1127" s="1"/>
      <c r="H1127" s="1" t="s">
        <v>820</v>
      </c>
      <c r="I1127" s="1" t="s">
        <v>28</v>
      </c>
      <c r="J1127" s="1" t="s">
        <v>31</v>
      </c>
      <c r="K1127">
        <v>127</v>
      </c>
    </row>
    <row r="1128" spans="1:11" x14ac:dyDescent="0.25">
      <c r="A1128" s="18" t="str">
        <f xml:space="preserve">  MapNameLkup</f>
        <v>m_ofs_trex_ar_invoices</v>
      </c>
      <c r="B1128" s="1" t="s">
        <v>104</v>
      </c>
      <c r="C1128" s="1" t="s">
        <v>105</v>
      </c>
      <c r="D1128" s="1" t="s">
        <v>1</v>
      </c>
      <c r="E1128" s="1" t="s">
        <v>107</v>
      </c>
      <c r="F1128">
        <v>1</v>
      </c>
      <c r="G1128" s="1"/>
      <c r="H1128" s="1" t="s">
        <v>821</v>
      </c>
      <c r="I1128" s="1" t="s">
        <v>28</v>
      </c>
      <c r="J1128" s="1" t="s">
        <v>31</v>
      </c>
      <c r="K1128">
        <v>128</v>
      </c>
    </row>
    <row r="1129" spans="1:11" x14ac:dyDescent="0.25">
      <c r="A1129" s="18" t="str">
        <f xml:space="preserve">  MapNameLkup</f>
        <v>m_ofs_trex_ar_invoices</v>
      </c>
      <c r="B1129" s="1" t="s">
        <v>104</v>
      </c>
      <c r="C1129" s="1" t="s">
        <v>105</v>
      </c>
      <c r="D1129" s="1" t="s">
        <v>1</v>
      </c>
      <c r="E1129" s="1" t="s">
        <v>107</v>
      </c>
      <c r="F1129">
        <v>1</v>
      </c>
      <c r="G1129" s="1"/>
      <c r="H1129" s="1" t="s">
        <v>822</v>
      </c>
      <c r="I1129" s="1" t="s">
        <v>28</v>
      </c>
      <c r="J1129" s="1" t="s">
        <v>31</v>
      </c>
      <c r="K1129">
        <v>129</v>
      </c>
    </row>
    <row r="1130" spans="1:11" x14ac:dyDescent="0.25">
      <c r="A1130" s="18" t="str">
        <f xml:space="preserve">  MapNameLkup</f>
        <v>m_ofs_trex_ar_invoices</v>
      </c>
      <c r="B1130" s="1" t="s">
        <v>104</v>
      </c>
      <c r="C1130" s="1" t="s">
        <v>105</v>
      </c>
      <c r="D1130" s="1" t="s">
        <v>1</v>
      </c>
      <c r="E1130" s="1" t="s">
        <v>107</v>
      </c>
      <c r="F1130">
        <v>1</v>
      </c>
      <c r="G1130" s="1"/>
      <c r="H1130" s="1" t="s">
        <v>823</v>
      </c>
      <c r="I1130" s="1" t="s">
        <v>28</v>
      </c>
      <c r="J1130" s="1" t="s">
        <v>31</v>
      </c>
      <c r="K1130">
        <v>130</v>
      </c>
    </row>
    <row r="1131" spans="1:11" x14ac:dyDescent="0.25">
      <c r="A1131" s="18" t="str">
        <f xml:space="preserve">  MapNameLkup</f>
        <v>m_ofs_trex_ar_invoices</v>
      </c>
      <c r="B1131" s="1" t="s">
        <v>104</v>
      </c>
      <c r="C1131" s="1" t="s">
        <v>105</v>
      </c>
      <c r="D1131" s="1" t="s">
        <v>1</v>
      </c>
      <c r="E1131" s="1" t="s">
        <v>107</v>
      </c>
      <c r="F1131">
        <v>1</v>
      </c>
      <c r="G1131" s="1"/>
      <c r="H1131" s="1" t="s">
        <v>824</v>
      </c>
      <c r="I1131" s="1" t="s">
        <v>28</v>
      </c>
      <c r="J1131" s="1" t="s">
        <v>31</v>
      </c>
      <c r="K1131">
        <v>131</v>
      </c>
    </row>
    <row r="1132" spans="1:11" x14ac:dyDescent="0.25">
      <c r="A1132" s="18" t="str">
        <f xml:space="preserve">  MapNameLkup</f>
        <v>m_ofs_trex_ar_invoices</v>
      </c>
      <c r="B1132" s="1" t="s">
        <v>104</v>
      </c>
      <c r="C1132" s="1" t="s">
        <v>105</v>
      </c>
      <c r="D1132" s="1" t="s">
        <v>1</v>
      </c>
      <c r="E1132" s="1" t="s">
        <v>107</v>
      </c>
      <c r="F1132">
        <v>1</v>
      </c>
      <c r="G1132" s="1"/>
      <c r="H1132" s="1" t="s">
        <v>825</v>
      </c>
      <c r="I1132" s="1" t="s">
        <v>28</v>
      </c>
      <c r="J1132" s="1" t="s">
        <v>31</v>
      </c>
      <c r="K1132">
        <v>132</v>
      </c>
    </row>
    <row r="1133" spans="1:11" x14ac:dyDescent="0.25">
      <c r="A1133" s="18" t="str">
        <f xml:space="preserve">  MapNameLkup</f>
        <v>m_ofs_trex_ar_invoices</v>
      </c>
      <c r="B1133" s="1" t="s">
        <v>104</v>
      </c>
      <c r="C1133" s="1" t="s">
        <v>105</v>
      </c>
      <c r="D1133" s="1" t="s">
        <v>1</v>
      </c>
      <c r="E1133" s="1" t="s">
        <v>107</v>
      </c>
      <c r="F1133">
        <v>1</v>
      </c>
      <c r="G1133" s="1"/>
      <c r="H1133" s="1" t="s">
        <v>826</v>
      </c>
      <c r="I1133" s="1" t="s">
        <v>28</v>
      </c>
      <c r="J1133" s="1" t="s">
        <v>31</v>
      </c>
      <c r="K1133">
        <v>133</v>
      </c>
    </row>
    <row r="1134" spans="1:11" x14ac:dyDescent="0.25">
      <c r="A1134" s="18" t="str">
        <f xml:space="preserve">  MapNameLkup</f>
        <v>m_ofs_trex_ar_invoices</v>
      </c>
      <c r="B1134" s="1" t="s">
        <v>104</v>
      </c>
      <c r="C1134" s="1" t="s">
        <v>105</v>
      </c>
      <c r="D1134" s="1" t="s">
        <v>1</v>
      </c>
      <c r="E1134" s="1" t="s">
        <v>107</v>
      </c>
      <c r="F1134">
        <v>1</v>
      </c>
      <c r="G1134" s="1"/>
      <c r="H1134" s="1" t="s">
        <v>827</v>
      </c>
      <c r="I1134" s="1" t="s">
        <v>28</v>
      </c>
      <c r="J1134" s="1" t="s">
        <v>31</v>
      </c>
      <c r="K1134">
        <v>134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 tint="-0.499984740745262"/>
  </sheetPr>
  <dimension ref="A1:J55"/>
  <sheetViews>
    <sheetView showGridLines="0" zoomScale="115" zoomScaleNormal="115" workbookViewId="0">
      <selection activeCell="E12" sqref="E12"/>
    </sheetView>
  </sheetViews>
  <sheetFormatPr defaultRowHeight="15" x14ac:dyDescent="0.25"/>
  <cols>
    <col min="1" max="1" width="31.85546875" bestFit="1" customWidth="1"/>
    <col min="2" max="2" width="26.85546875" bestFit="1" customWidth="1"/>
    <col min="3" max="3" width="15" bestFit="1" customWidth="1"/>
    <col min="4" max="4" width="19.5703125" bestFit="1" customWidth="1"/>
    <col min="5" max="5" width="28.42578125" bestFit="1" customWidth="1"/>
    <col min="6" max="6" width="19.42578125" bestFit="1" customWidth="1"/>
    <col min="7" max="7" width="14" bestFit="1" customWidth="1"/>
    <col min="8" max="8" width="16.140625" bestFit="1" customWidth="1"/>
    <col min="9" max="9" width="12.7109375" bestFit="1" customWidth="1"/>
    <col min="10" max="11" width="12.140625" bestFit="1" customWidth="1"/>
  </cols>
  <sheetData>
    <row r="1" spans="1:10" x14ac:dyDescent="0.25">
      <c r="A1" s="7" t="s">
        <v>16</v>
      </c>
      <c r="B1" s="7" t="s">
        <v>3</v>
      </c>
      <c r="C1" s="7" t="s">
        <v>2</v>
      </c>
      <c r="D1" s="7" t="s">
        <v>20</v>
      </c>
      <c r="E1" s="7" t="s">
        <v>35</v>
      </c>
      <c r="F1" s="7" t="s">
        <v>36</v>
      </c>
      <c r="G1" s="7" t="s">
        <v>34</v>
      </c>
      <c r="H1" s="7" t="s">
        <v>11</v>
      </c>
      <c r="I1" s="7" t="s">
        <v>26</v>
      </c>
      <c r="J1" s="7" t="s">
        <v>30</v>
      </c>
    </row>
    <row r="2" spans="1:10" x14ac:dyDescent="0.25">
      <c r="A2" s="23" t="str">
        <f t="shared" ref="A2:A3" si="0" xml:space="preserve">  MapNameLkup</f>
        <v>m_ofs_trex_ar_invoices</v>
      </c>
      <c r="B2" s="9" t="s">
        <v>828</v>
      </c>
      <c r="C2" s="9"/>
      <c r="D2" s="9" t="s">
        <v>12</v>
      </c>
      <c r="E2" s="9" t="s">
        <v>830</v>
      </c>
      <c r="F2" s="9"/>
      <c r="G2" s="9" t="s">
        <v>839</v>
      </c>
      <c r="H2" s="7">
        <v>1</v>
      </c>
      <c r="I2" s="9" t="s">
        <v>29</v>
      </c>
      <c r="J2" s="9" t="s">
        <v>32</v>
      </c>
    </row>
    <row r="3" spans="1:10" x14ac:dyDescent="0.25">
      <c r="A3" s="23" t="str">
        <f t="shared" si="0"/>
        <v>m_ofs_trex_ar_invoices</v>
      </c>
      <c r="B3" s="9" t="s">
        <v>828</v>
      </c>
      <c r="C3" s="9"/>
      <c r="D3" s="9" t="s">
        <v>12</v>
      </c>
      <c r="E3" s="9" t="s">
        <v>831</v>
      </c>
      <c r="F3" s="9"/>
      <c r="G3" s="9" t="s">
        <v>839</v>
      </c>
      <c r="H3" s="7">
        <v>2</v>
      </c>
      <c r="I3" s="9" t="s">
        <v>28</v>
      </c>
      <c r="J3" s="9" t="s">
        <v>31</v>
      </c>
    </row>
    <row r="4" spans="1:10" x14ac:dyDescent="0.25">
      <c r="A4" s="23" t="str">
        <f t="shared" ref="A4:A10" si="1" xml:space="preserve">  MapNameLkup</f>
        <v>m_ofs_trex_ar_invoices</v>
      </c>
      <c r="B4" s="9" t="s">
        <v>828</v>
      </c>
      <c r="C4" s="9"/>
      <c r="D4" s="9" t="s">
        <v>12</v>
      </c>
      <c r="E4" s="9" t="s">
        <v>832</v>
      </c>
      <c r="F4" s="9"/>
      <c r="G4" s="9" t="s">
        <v>839</v>
      </c>
      <c r="H4" s="7">
        <v>3</v>
      </c>
      <c r="I4" s="9" t="s">
        <v>28</v>
      </c>
      <c r="J4" s="9" t="s">
        <v>31</v>
      </c>
    </row>
    <row r="5" spans="1:10" x14ac:dyDescent="0.25">
      <c r="A5" s="23" t="str">
        <f t="shared" si="1"/>
        <v>m_ofs_trex_ar_invoices</v>
      </c>
      <c r="B5" s="9" t="s">
        <v>828</v>
      </c>
      <c r="C5" s="9"/>
      <c r="D5" s="9" t="s">
        <v>12</v>
      </c>
      <c r="E5" s="9" t="s">
        <v>833</v>
      </c>
      <c r="F5" s="9"/>
      <c r="G5" s="9" t="s">
        <v>840</v>
      </c>
      <c r="H5" s="7">
        <v>4</v>
      </c>
      <c r="I5" s="9" t="s">
        <v>28</v>
      </c>
      <c r="J5" s="9" t="s">
        <v>31</v>
      </c>
    </row>
    <row r="6" spans="1:10" x14ac:dyDescent="0.25">
      <c r="A6" s="23" t="str">
        <f t="shared" si="1"/>
        <v>m_ofs_trex_ar_invoices</v>
      </c>
      <c r="B6" s="9" t="s">
        <v>828</v>
      </c>
      <c r="C6" s="9"/>
      <c r="D6" s="9" t="s">
        <v>12</v>
      </c>
      <c r="E6" s="9" t="s">
        <v>834</v>
      </c>
      <c r="F6" s="9"/>
      <c r="G6" s="9" t="s">
        <v>841</v>
      </c>
      <c r="H6" s="7">
        <v>5</v>
      </c>
      <c r="I6" s="9" t="s">
        <v>28</v>
      </c>
      <c r="J6" s="9" t="s">
        <v>31</v>
      </c>
    </row>
    <row r="7" spans="1:10" x14ac:dyDescent="0.25">
      <c r="A7" s="23" t="str">
        <f t="shared" si="1"/>
        <v>m_ofs_trex_ar_invoices</v>
      </c>
      <c r="B7" s="9" t="s">
        <v>828</v>
      </c>
      <c r="C7" s="9"/>
      <c r="D7" s="9" t="s">
        <v>12</v>
      </c>
      <c r="E7" s="9" t="s">
        <v>835</v>
      </c>
      <c r="F7" s="9"/>
      <c r="G7" s="9" t="s">
        <v>841</v>
      </c>
      <c r="H7" s="7">
        <v>6</v>
      </c>
      <c r="I7" s="9" t="s">
        <v>28</v>
      </c>
      <c r="J7" s="9" t="s">
        <v>31</v>
      </c>
    </row>
    <row r="8" spans="1:10" x14ac:dyDescent="0.25">
      <c r="A8" s="23" t="str">
        <f t="shared" si="1"/>
        <v>m_ofs_trex_ar_invoices</v>
      </c>
      <c r="B8" s="9" t="s">
        <v>828</v>
      </c>
      <c r="C8" s="9"/>
      <c r="D8" s="9" t="s">
        <v>12</v>
      </c>
      <c r="E8" s="9" t="s">
        <v>836</v>
      </c>
      <c r="F8" s="9"/>
      <c r="G8" s="9" t="s">
        <v>839</v>
      </c>
      <c r="H8" s="7">
        <v>7</v>
      </c>
      <c r="I8" s="9" t="s">
        <v>28</v>
      </c>
      <c r="J8" s="9" t="s">
        <v>32</v>
      </c>
    </row>
    <row r="9" spans="1:10" x14ac:dyDescent="0.25">
      <c r="A9" s="23" t="str">
        <f t="shared" si="1"/>
        <v>m_ofs_trex_ar_invoices</v>
      </c>
      <c r="B9" s="9" t="s">
        <v>828</v>
      </c>
      <c r="C9" s="9"/>
      <c r="D9" s="9" t="s">
        <v>12</v>
      </c>
      <c r="E9" s="9" t="s">
        <v>837</v>
      </c>
      <c r="F9" s="9"/>
      <c r="G9" s="9" t="s">
        <v>841</v>
      </c>
      <c r="H9" s="7">
        <v>8</v>
      </c>
      <c r="I9" s="9" t="s">
        <v>28</v>
      </c>
      <c r="J9" s="9" t="s">
        <v>32</v>
      </c>
    </row>
    <row r="10" spans="1:10" x14ac:dyDescent="0.25">
      <c r="A10" s="23" t="str">
        <f t="shared" si="1"/>
        <v>m_ofs_trex_ar_invoices</v>
      </c>
      <c r="B10" s="9" t="s">
        <v>91</v>
      </c>
      <c r="C10" s="9"/>
      <c r="D10" s="9" t="s">
        <v>12</v>
      </c>
      <c r="E10" s="9" t="s">
        <v>112</v>
      </c>
      <c r="F10" s="9"/>
      <c r="G10" s="9" t="s">
        <v>840</v>
      </c>
      <c r="H10" s="7">
        <v>1</v>
      </c>
      <c r="I10" s="9" t="s">
        <v>29</v>
      </c>
      <c r="J10" s="9" t="s">
        <v>32</v>
      </c>
    </row>
    <row r="11" spans="1:10" x14ac:dyDescent="0.25">
      <c r="A11" t="str">
        <f xml:space="preserve">  MapNameLkup</f>
        <v>m_ofs_trex_ar_invoices</v>
      </c>
      <c r="B11" s="1" t="s">
        <v>91</v>
      </c>
      <c r="C11" s="1"/>
      <c r="D11" s="1" t="s">
        <v>12</v>
      </c>
      <c r="E11" s="1" t="s">
        <v>113</v>
      </c>
      <c r="F11" s="1"/>
      <c r="G11" s="1" t="s">
        <v>840</v>
      </c>
      <c r="H11">
        <v>2</v>
      </c>
      <c r="I11" s="1" t="s">
        <v>28</v>
      </c>
      <c r="J11" s="1" t="s">
        <v>32</v>
      </c>
    </row>
    <row r="12" spans="1:10" x14ac:dyDescent="0.25">
      <c r="A12" t="str">
        <f xml:space="preserve">  MapNameLkup</f>
        <v>m_ofs_trex_ar_invoices</v>
      </c>
      <c r="B12" s="1" t="s">
        <v>91</v>
      </c>
      <c r="C12" s="1"/>
      <c r="D12" s="1" t="s">
        <v>12</v>
      </c>
      <c r="E12" s="1" t="s">
        <v>114</v>
      </c>
      <c r="F12" s="1"/>
      <c r="G12" s="1" t="s">
        <v>839</v>
      </c>
      <c r="H12">
        <v>3</v>
      </c>
      <c r="I12" s="1" t="s">
        <v>28</v>
      </c>
      <c r="J12" s="1" t="s">
        <v>31</v>
      </c>
    </row>
    <row r="13" spans="1:10" x14ac:dyDescent="0.25">
      <c r="A13" t="str">
        <f xml:space="preserve">  MapNameLkup</f>
        <v>m_ofs_trex_ar_invoices</v>
      </c>
      <c r="B13" s="1" t="s">
        <v>91</v>
      </c>
      <c r="C13" s="1"/>
      <c r="D13" s="1" t="s">
        <v>12</v>
      </c>
      <c r="E13" s="1" t="s">
        <v>115</v>
      </c>
      <c r="F13" s="1"/>
      <c r="G13" s="1" t="s">
        <v>839</v>
      </c>
      <c r="H13">
        <v>4</v>
      </c>
      <c r="I13" s="1" t="s">
        <v>28</v>
      </c>
      <c r="J13" s="1" t="s">
        <v>31</v>
      </c>
    </row>
    <row r="14" spans="1:10" x14ac:dyDescent="0.25">
      <c r="A14" t="str">
        <f xml:space="preserve">  MapNameLkup</f>
        <v>m_ofs_trex_ar_invoices</v>
      </c>
      <c r="B14" s="1" t="s">
        <v>91</v>
      </c>
      <c r="C14" s="1"/>
      <c r="D14" s="1" t="s">
        <v>12</v>
      </c>
      <c r="E14" s="1" t="s">
        <v>116</v>
      </c>
      <c r="F14" s="1"/>
      <c r="G14" s="1" t="s">
        <v>839</v>
      </c>
      <c r="H14">
        <v>5</v>
      </c>
      <c r="I14" s="1" t="s">
        <v>28</v>
      </c>
      <c r="J14" s="1" t="s">
        <v>31</v>
      </c>
    </row>
    <row r="15" spans="1:10" x14ac:dyDescent="0.25">
      <c r="A15" t="str">
        <f xml:space="preserve">  MapNameLkup</f>
        <v>m_ofs_trex_ar_invoices</v>
      </c>
      <c r="B15" s="1" t="s">
        <v>91</v>
      </c>
      <c r="C15" s="1"/>
      <c r="D15" s="1" t="s">
        <v>12</v>
      </c>
      <c r="E15" s="1" t="s">
        <v>117</v>
      </c>
      <c r="F15" s="1"/>
      <c r="G15" s="1" t="s">
        <v>842</v>
      </c>
      <c r="H15">
        <v>6</v>
      </c>
      <c r="I15" s="1" t="s">
        <v>28</v>
      </c>
      <c r="J15" s="1" t="s">
        <v>31</v>
      </c>
    </row>
    <row r="16" spans="1:10" x14ac:dyDescent="0.25">
      <c r="A16" t="str">
        <f xml:space="preserve">  MapNameLkup</f>
        <v>m_ofs_trex_ar_invoices</v>
      </c>
      <c r="B16" s="1" t="s">
        <v>91</v>
      </c>
      <c r="C16" s="1"/>
      <c r="D16" s="1" t="s">
        <v>12</v>
      </c>
      <c r="E16" s="1" t="s">
        <v>118</v>
      </c>
      <c r="F16" s="1"/>
      <c r="G16" s="1" t="s">
        <v>842</v>
      </c>
      <c r="H16">
        <v>7</v>
      </c>
      <c r="I16" s="1" t="s">
        <v>28</v>
      </c>
      <c r="J16" s="1" t="s">
        <v>31</v>
      </c>
    </row>
    <row r="17" spans="1:10" x14ac:dyDescent="0.25">
      <c r="A17" t="str">
        <f xml:space="preserve">  MapNameLkup</f>
        <v>m_ofs_trex_ar_invoices</v>
      </c>
      <c r="B17" s="1" t="s">
        <v>91</v>
      </c>
      <c r="C17" s="1"/>
      <c r="D17" s="1" t="s">
        <v>12</v>
      </c>
      <c r="E17" s="1" t="s">
        <v>119</v>
      </c>
      <c r="F17" s="1"/>
      <c r="G17" s="1" t="s">
        <v>839</v>
      </c>
      <c r="H17">
        <v>8</v>
      </c>
      <c r="I17" s="1" t="s">
        <v>28</v>
      </c>
      <c r="J17" s="1" t="s">
        <v>31</v>
      </c>
    </row>
    <row r="18" spans="1:10" x14ac:dyDescent="0.25">
      <c r="A18" t="str">
        <f xml:space="preserve">  MapNameLkup</f>
        <v>m_ofs_trex_ar_invoices</v>
      </c>
      <c r="B18" s="1" t="s">
        <v>91</v>
      </c>
      <c r="C18" s="1"/>
      <c r="D18" s="1" t="s">
        <v>12</v>
      </c>
      <c r="E18" s="1" t="s">
        <v>120</v>
      </c>
      <c r="F18" s="1"/>
      <c r="G18" s="1" t="s">
        <v>839</v>
      </c>
      <c r="H18">
        <v>9</v>
      </c>
      <c r="I18" s="1" t="s">
        <v>28</v>
      </c>
      <c r="J18" s="1" t="s">
        <v>31</v>
      </c>
    </row>
    <row r="19" spans="1:10" x14ac:dyDescent="0.25">
      <c r="A19" t="str">
        <f xml:space="preserve">  MapNameLkup</f>
        <v>m_ofs_trex_ar_invoices</v>
      </c>
      <c r="B19" s="1" t="s">
        <v>91</v>
      </c>
      <c r="C19" s="1"/>
      <c r="D19" s="1" t="s">
        <v>12</v>
      </c>
      <c r="E19" s="1" t="s">
        <v>121</v>
      </c>
      <c r="F19" s="1"/>
      <c r="G19" s="1" t="s">
        <v>839</v>
      </c>
      <c r="H19">
        <v>10</v>
      </c>
      <c r="I19" s="1" t="s">
        <v>28</v>
      </c>
      <c r="J19" s="1" t="s">
        <v>31</v>
      </c>
    </row>
    <row r="20" spans="1:10" x14ac:dyDescent="0.25">
      <c r="A20" t="str">
        <f xml:space="preserve">  MapNameLkup</f>
        <v>m_ofs_trex_ar_invoices</v>
      </c>
      <c r="B20" s="1" t="s">
        <v>91</v>
      </c>
      <c r="C20" s="1"/>
      <c r="D20" s="1" t="s">
        <v>12</v>
      </c>
      <c r="E20" s="1" t="s">
        <v>122</v>
      </c>
      <c r="F20" s="1"/>
      <c r="G20" s="1" t="s">
        <v>839</v>
      </c>
      <c r="H20">
        <v>11</v>
      </c>
      <c r="I20" s="1" t="s">
        <v>28</v>
      </c>
      <c r="J20" s="1" t="s">
        <v>31</v>
      </c>
    </row>
    <row r="21" spans="1:10" x14ac:dyDescent="0.25">
      <c r="A21" t="str">
        <f xml:space="preserve">  MapNameLkup</f>
        <v>m_ofs_trex_ar_invoices</v>
      </c>
      <c r="B21" s="1" t="s">
        <v>91</v>
      </c>
      <c r="C21" s="1"/>
      <c r="D21" s="1" t="s">
        <v>12</v>
      </c>
      <c r="E21" s="1" t="s">
        <v>123</v>
      </c>
      <c r="F21" s="1"/>
      <c r="G21" s="1" t="s">
        <v>842</v>
      </c>
      <c r="H21">
        <v>12</v>
      </c>
      <c r="I21" s="1" t="s">
        <v>28</v>
      </c>
      <c r="J21" s="1" t="s">
        <v>31</v>
      </c>
    </row>
    <row r="22" spans="1:10" x14ac:dyDescent="0.25">
      <c r="A22" t="str">
        <f xml:space="preserve">  MapNameLkup</f>
        <v>m_ofs_trex_ar_invoices</v>
      </c>
      <c r="B22" s="1" t="s">
        <v>91</v>
      </c>
      <c r="C22" s="1"/>
      <c r="D22" s="1" t="s">
        <v>12</v>
      </c>
      <c r="E22" s="1" t="s">
        <v>124</v>
      </c>
      <c r="F22" s="1"/>
      <c r="G22" s="1" t="s">
        <v>839</v>
      </c>
      <c r="H22">
        <v>13</v>
      </c>
      <c r="I22" s="1" t="s">
        <v>28</v>
      </c>
      <c r="J22" s="1" t="s">
        <v>31</v>
      </c>
    </row>
    <row r="23" spans="1:10" x14ac:dyDescent="0.25">
      <c r="A23" t="str">
        <f xml:space="preserve">  MapNameLkup</f>
        <v>m_ofs_trex_ar_invoices</v>
      </c>
      <c r="B23" s="1" t="s">
        <v>91</v>
      </c>
      <c r="C23" s="1"/>
      <c r="D23" s="1" t="s">
        <v>12</v>
      </c>
      <c r="E23" s="1" t="s">
        <v>125</v>
      </c>
      <c r="F23" s="1"/>
      <c r="G23" s="1" t="s">
        <v>839</v>
      </c>
      <c r="H23">
        <v>14</v>
      </c>
      <c r="I23" s="1" t="s">
        <v>28</v>
      </c>
      <c r="J23" s="1" t="s">
        <v>31</v>
      </c>
    </row>
    <row r="24" spans="1:10" x14ac:dyDescent="0.25">
      <c r="A24" t="str">
        <f xml:space="preserve">  MapNameLkup</f>
        <v>m_ofs_trex_ar_invoices</v>
      </c>
      <c r="B24" s="1" t="s">
        <v>91</v>
      </c>
      <c r="C24" s="1"/>
      <c r="D24" s="1" t="s">
        <v>12</v>
      </c>
      <c r="E24" s="1" t="s">
        <v>126</v>
      </c>
      <c r="F24" s="1"/>
      <c r="G24" s="1" t="s">
        <v>839</v>
      </c>
      <c r="H24">
        <v>15</v>
      </c>
      <c r="I24" s="1" t="s">
        <v>28</v>
      </c>
      <c r="J24" s="1" t="s">
        <v>31</v>
      </c>
    </row>
    <row r="25" spans="1:10" x14ac:dyDescent="0.25">
      <c r="A25" t="str">
        <f xml:space="preserve">  MapNameLkup</f>
        <v>m_ofs_trex_ar_invoices</v>
      </c>
      <c r="B25" s="1" t="s">
        <v>91</v>
      </c>
      <c r="C25" s="1"/>
      <c r="D25" s="1" t="s">
        <v>12</v>
      </c>
      <c r="E25" s="1" t="s">
        <v>127</v>
      </c>
      <c r="F25" s="1"/>
      <c r="G25" s="1" t="s">
        <v>843</v>
      </c>
      <c r="H25">
        <v>16</v>
      </c>
      <c r="I25" s="1" t="s">
        <v>28</v>
      </c>
      <c r="J25" s="1" t="s">
        <v>31</v>
      </c>
    </row>
    <row r="26" spans="1:10" x14ac:dyDescent="0.25">
      <c r="A26" t="str">
        <f xml:space="preserve">  MapNameLkup</f>
        <v>m_ofs_trex_ar_invoices</v>
      </c>
      <c r="B26" s="1" t="s">
        <v>91</v>
      </c>
      <c r="C26" s="1"/>
      <c r="D26" s="1" t="s">
        <v>12</v>
      </c>
      <c r="E26" s="1" t="s">
        <v>128</v>
      </c>
      <c r="F26" s="1"/>
      <c r="G26" s="1" t="s">
        <v>843</v>
      </c>
      <c r="H26">
        <v>17</v>
      </c>
      <c r="I26" s="1" t="s">
        <v>28</v>
      </c>
      <c r="J26" s="1" t="s">
        <v>31</v>
      </c>
    </row>
    <row r="27" spans="1:10" x14ac:dyDescent="0.25">
      <c r="A27" t="str">
        <f xml:space="preserve">  MapNameLkup</f>
        <v>m_ofs_trex_ar_invoices</v>
      </c>
      <c r="B27" s="1" t="s">
        <v>91</v>
      </c>
      <c r="C27" s="1"/>
      <c r="D27" s="1" t="s">
        <v>12</v>
      </c>
      <c r="E27" s="1" t="s">
        <v>129</v>
      </c>
      <c r="F27" s="1"/>
      <c r="G27" s="1" t="s">
        <v>839</v>
      </c>
      <c r="H27">
        <v>18</v>
      </c>
      <c r="I27" s="1" t="s">
        <v>28</v>
      </c>
      <c r="J27" s="1" t="s">
        <v>31</v>
      </c>
    </row>
    <row r="28" spans="1:10" x14ac:dyDescent="0.25">
      <c r="A28" t="str">
        <f xml:space="preserve">  MapNameLkup</f>
        <v>m_ofs_trex_ar_invoices</v>
      </c>
      <c r="B28" s="1" t="s">
        <v>91</v>
      </c>
      <c r="C28" s="1"/>
      <c r="D28" s="1" t="s">
        <v>12</v>
      </c>
      <c r="E28" s="1" t="s">
        <v>130</v>
      </c>
      <c r="F28" s="1"/>
      <c r="G28" s="1" t="s">
        <v>839</v>
      </c>
      <c r="H28">
        <v>19</v>
      </c>
      <c r="I28" s="1" t="s">
        <v>28</v>
      </c>
      <c r="J28" s="1" t="s">
        <v>31</v>
      </c>
    </row>
    <row r="29" spans="1:10" x14ac:dyDescent="0.25">
      <c r="A29" t="str">
        <f xml:space="preserve">  MapNameLkup</f>
        <v>m_ofs_trex_ar_invoices</v>
      </c>
      <c r="B29" s="1" t="s">
        <v>91</v>
      </c>
      <c r="C29" s="1"/>
      <c r="D29" s="1" t="s">
        <v>12</v>
      </c>
      <c r="E29" s="1" t="s">
        <v>131</v>
      </c>
      <c r="F29" s="1"/>
      <c r="G29" s="1" t="s">
        <v>844</v>
      </c>
      <c r="H29">
        <v>20</v>
      </c>
      <c r="I29" s="1" t="s">
        <v>28</v>
      </c>
      <c r="J29" s="1" t="s">
        <v>31</v>
      </c>
    </row>
    <row r="30" spans="1:10" x14ac:dyDescent="0.25">
      <c r="A30" t="str">
        <f xml:space="preserve">  MapNameLkup</f>
        <v>m_ofs_trex_ar_invoices</v>
      </c>
      <c r="B30" s="1" t="s">
        <v>91</v>
      </c>
      <c r="C30" s="1"/>
      <c r="D30" s="1" t="s">
        <v>12</v>
      </c>
      <c r="E30" s="1" t="s">
        <v>132</v>
      </c>
      <c r="F30" s="1"/>
      <c r="G30" s="1" t="s">
        <v>844</v>
      </c>
      <c r="H30">
        <v>21</v>
      </c>
      <c r="I30" s="1" t="s">
        <v>28</v>
      </c>
      <c r="J30" s="1" t="s">
        <v>31</v>
      </c>
    </row>
    <row r="31" spans="1:10" x14ac:dyDescent="0.25">
      <c r="A31" t="str">
        <f xml:space="preserve">  MapNameLkup</f>
        <v>m_ofs_trex_ar_invoices</v>
      </c>
      <c r="B31" s="1" t="s">
        <v>91</v>
      </c>
      <c r="C31" s="1"/>
      <c r="D31" s="1" t="s">
        <v>12</v>
      </c>
      <c r="E31" s="1" t="s">
        <v>133</v>
      </c>
      <c r="F31" s="1"/>
      <c r="G31" s="1" t="s">
        <v>844</v>
      </c>
      <c r="H31">
        <v>22</v>
      </c>
      <c r="I31" s="1" t="s">
        <v>28</v>
      </c>
      <c r="J31" s="1" t="s">
        <v>31</v>
      </c>
    </row>
    <row r="32" spans="1:10" x14ac:dyDescent="0.25">
      <c r="A32" t="str">
        <f xml:space="preserve">  MapNameLkup</f>
        <v>m_ofs_trex_ar_invoices</v>
      </c>
      <c r="B32" s="1" t="s">
        <v>91</v>
      </c>
      <c r="C32" s="1"/>
      <c r="D32" s="1" t="s">
        <v>12</v>
      </c>
      <c r="E32" s="1" t="s">
        <v>134</v>
      </c>
      <c r="F32" s="1"/>
      <c r="G32" s="1" t="s">
        <v>844</v>
      </c>
      <c r="H32">
        <v>23</v>
      </c>
      <c r="I32" s="1" t="s">
        <v>28</v>
      </c>
      <c r="J32" s="1" t="s">
        <v>31</v>
      </c>
    </row>
    <row r="33" spans="1:10" x14ac:dyDescent="0.25">
      <c r="A33" t="str">
        <f xml:space="preserve">  MapNameLkup</f>
        <v>m_ofs_trex_ar_invoices</v>
      </c>
      <c r="B33" s="1" t="s">
        <v>91</v>
      </c>
      <c r="C33" s="1"/>
      <c r="D33" s="1" t="s">
        <v>12</v>
      </c>
      <c r="E33" s="1" t="s">
        <v>135</v>
      </c>
      <c r="F33" s="1"/>
      <c r="G33" s="1" t="s">
        <v>844</v>
      </c>
      <c r="H33">
        <v>24</v>
      </c>
      <c r="I33" s="1" t="s">
        <v>28</v>
      </c>
      <c r="J33" s="1" t="s">
        <v>31</v>
      </c>
    </row>
    <row r="34" spans="1:10" x14ac:dyDescent="0.25">
      <c r="A34" t="str">
        <f xml:space="preserve">  MapNameLkup</f>
        <v>m_ofs_trex_ar_invoices</v>
      </c>
      <c r="B34" s="1" t="s">
        <v>91</v>
      </c>
      <c r="C34" s="1"/>
      <c r="D34" s="1" t="s">
        <v>12</v>
      </c>
      <c r="E34" s="1" t="s">
        <v>136</v>
      </c>
      <c r="F34" s="1"/>
      <c r="G34" s="1" t="s">
        <v>844</v>
      </c>
      <c r="H34">
        <v>25</v>
      </c>
      <c r="I34" s="1" t="s">
        <v>28</v>
      </c>
      <c r="J34" s="1" t="s">
        <v>31</v>
      </c>
    </row>
    <row r="35" spans="1:10" x14ac:dyDescent="0.25">
      <c r="A35" t="str">
        <f xml:space="preserve">  MapNameLkup</f>
        <v>m_ofs_trex_ar_invoices</v>
      </c>
      <c r="B35" s="1" t="s">
        <v>91</v>
      </c>
      <c r="C35" s="1"/>
      <c r="D35" s="1" t="s">
        <v>12</v>
      </c>
      <c r="E35" s="1" t="s">
        <v>137</v>
      </c>
      <c r="F35" s="1"/>
      <c r="G35" s="1" t="s">
        <v>839</v>
      </c>
      <c r="H35">
        <v>26</v>
      </c>
      <c r="I35" s="1" t="s">
        <v>28</v>
      </c>
      <c r="J35" s="1" t="s">
        <v>31</v>
      </c>
    </row>
    <row r="36" spans="1:10" x14ac:dyDescent="0.25">
      <c r="A36" t="str">
        <f xml:space="preserve">  MapNameLkup</f>
        <v>m_ofs_trex_ar_invoices</v>
      </c>
      <c r="B36" s="1" t="s">
        <v>91</v>
      </c>
      <c r="C36" s="1"/>
      <c r="D36" s="1" t="s">
        <v>12</v>
      </c>
      <c r="E36" s="1" t="s">
        <v>138</v>
      </c>
      <c r="F36" s="1"/>
      <c r="G36" s="1" t="s">
        <v>839</v>
      </c>
      <c r="H36">
        <v>27</v>
      </c>
      <c r="I36" s="1" t="s">
        <v>28</v>
      </c>
      <c r="J36" s="1" t="s">
        <v>31</v>
      </c>
    </row>
    <row r="37" spans="1:10" x14ac:dyDescent="0.25">
      <c r="A37" t="str">
        <f xml:space="preserve">  MapNameLkup</f>
        <v>m_ofs_trex_ar_invoices</v>
      </c>
      <c r="B37" s="1" t="s">
        <v>91</v>
      </c>
      <c r="C37" s="1"/>
      <c r="D37" s="1" t="s">
        <v>12</v>
      </c>
      <c r="E37" s="1" t="s">
        <v>139</v>
      </c>
      <c r="F37" s="1"/>
      <c r="G37" s="1" t="s">
        <v>839</v>
      </c>
      <c r="H37">
        <v>28</v>
      </c>
      <c r="I37" s="1" t="s">
        <v>28</v>
      </c>
      <c r="J37" s="1" t="s">
        <v>31</v>
      </c>
    </row>
    <row r="38" spans="1:10" x14ac:dyDescent="0.25">
      <c r="A38" t="str">
        <f xml:space="preserve">  MapNameLkup</f>
        <v>m_ofs_trex_ar_invoices</v>
      </c>
      <c r="B38" s="1" t="s">
        <v>91</v>
      </c>
      <c r="C38" s="1"/>
      <c r="D38" s="1" t="s">
        <v>12</v>
      </c>
      <c r="E38" s="1" t="s">
        <v>140</v>
      </c>
      <c r="F38" s="1"/>
      <c r="G38" s="1" t="s">
        <v>839</v>
      </c>
      <c r="H38">
        <v>29</v>
      </c>
      <c r="I38" s="1" t="s">
        <v>28</v>
      </c>
      <c r="J38" s="1" t="s">
        <v>31</v>
      </c>
    </row>
    <row r="39" spans="1:10" x14ac:dyDescent="0.25">
      <c r="A39" t="str">
        <f xml:space="preserve">  MapNameLkup</f>
        <v>m_ofs_trex_ar_invoices</v>
      </c>
      <c r="B39" s="1" t="s">
        <v>91</v>
      </c>
      <c r="C39" s="1"/>
      <c r="D39" s="1" t="s">
        <v>12</v>
      </c>
      <c r="E39" s="1" t="s">
        <v>141</v>
      </c>
      <c r="F39" s="1"/>
      <c r="G39" s="1" t="s">
        <v>839</v>
      </c>
      <c r="H39">
        <v>30</v>
      </c>
      <c r="I39" s="1" t="s">
        <v>28</v>
      </c>
      <c r="J39" s="1" t="s">
        <v>31</v>
      </c>
    </row>
    <row r="40" spans="1:10" x14ac:dyDescent="0.25">
      <c r="A40" t="str">
        <f xml:space="preserve">  MapNameLkup</f>
        <v>m_ofs_trex_ar_invoices</v>
      </c>
      <c r="B40" s="1" t="s">
        <v>91</v>
      </c>
      <c r="C40" s="1"/>
      <c r="D40" s="1" t="s">
        <v>12</v>
      </c>
      <c r="E40" s="1" t="s">
        <v>142</v>
      </c>
      <c r="F40" s="1"/>
      <c r="G40" s="1" t="s">
        <v>841</v>
      </c>
      <c r="H40">
        <v>31</v>
      </c>
      <c r="I40" s="1" t="s">
        <v>28</v>
      </c>
      <c r="J40" s="1" t="s">
        <v>31</v>
      </c>
    </row>
    <row r="41" spans="1:10" x14ac:dyDescent="0.25">
      <c r="A41" t="str">
        <f xml:space="preserve">  MapNameLkup</f>
        <v>m_ofs_trex_ar_invoices</v>
      </c>
      <c r="B41" s="1" t="s">
        <v>91</v>
      </c>
      <c r="C41" s="1"/>
      <c r="D41" s="1" t="s">
        <v>12</v>
      </c>
      <c r="E41" s="1" t="s">
        <v>143</v>
      </c>
      <c r="F41" s="1"/>
      <c r="G41" s="1" t="s">
        <v>841</v>
      </c>
      <c r="H41">
        <v>32</v>
      </c>
      <c r="I41" s="1" t="s">
        <v>28</v>
      </c>
      <c r="J41" s="1" t="s">
        <v>31</v>
      </c>
    </row>
    <row r="42" spans="1:10" x14ac:dyDescent="0.25">
      <c r="A42" t="str">
        <f xml:space="preserve">  MapNameLkup</f>
        <v>m_ofs_trex_ar_invoices</v>
      </c>
      <c r="B42" s="1" t="s">
        <v>91</v>
      </c>
      <c r="C42" s="1"/>
      <c r="D42" s="1" t="s">
        <v>12</v>
      </c>
      <c r="E42" s="1" t="s">
        <v>144</v>
      </c>
      <c r="F42" s="1"/>
      <c r="G42" s="1" t="s">
        <v>841</v>
      </c>
      <c r="H42">
        <v>33</v>
      </c>
      <c r="I42" s="1" t="s">
        <v>28</v>
      </c>
      <c r="J42" s="1" t="s">
        <v>31</v>
      </c>
    </row>
    <row r="43" spans="1:10" x14ac:dyDescent="0.25">
      <c r="A43" t="str">
        <f xml:space="preserve">  MapNameLkup</f>
        <v>m_ofs_trex_ar_invoices</v>
      </c>
      <c r="B43" s="1" t="s">
        <v>91</v>
      </c>
      <c r="C43" s="1"/>
      <c r="D43" s="1" t="s">
        <v>12</v>
      </c>
      <c r="E43" s="1" t="s">
        <v>145</v>
      </c>
      <c r="F43" s="1"/>
      <c r="G43" s="1" t="s">
        <v>841</v>
      </c>
      <c r="H43">
        <v>34</v>
      </c>
      <c r="I43" s="1" t="s">
        <v>28</v>
      </c>
      <c r="J43" s="1" t="s">
        <v>31</v>
      </c>
    </row>
    <row r="44" spans="1:10" x14ac:dyDescent="0.25">
      <c r="A44" t="str">
        <f xml:space="preserve">  MapNameLkup</f>
        <v>m_ofs_trex_ar_invoices</v>
      </c>
      <c r="B44" s="1" t="s">
        <v>91</v>
      </c>
      <c r="C44" s="1"/>
      <c r="D44" s="1" t="s">
        <v>12</v>
      </c>
      <c r="E44" s="1" t="s">
        <v>146</v>
      </c>
      <c r="F44" s="1"/>
      <c r="G44" s="1" t="s">
        <v>842</v>
      </c>
      <c r="H44">
        <v>35</v>
      </c>
      <c r="I44" s="1" t="s">
        <v>28</v>
      </c>
      <c r="J44" s="1" t="s">
        <v>32</v>
      </c>
    </row>
    <row r="45" spans="1:10" x14ac:dyDescent="0.25">
      <c r="A45" t="str">
        <f xml:space="preserve">  MapNameLkup</f>
        <v>m_ofs_trex_ar_invoices</v>
      </c>
      <c r="B45" s="1" t="s">
        <v>91</v>
      </c>
      <c r="C45" s="1"/>
      <c r="D45" s="1" t="s">
        <v>12</v>
      </c>
      <c r="E45" s="1" t="s">
        <v>147</v>
      </c>
      <c r="F45" s="1"/>
      <c r="G45" s="1" t="s">
        <v>839</v>
      </c>
      <c r="H45">
        <v>36</v>
      </c>
      <c r="I45" s="1" t="s">
        <v>28</v>
      </c>
      <c r="J45" s="1" t="s">
        <v>32</v>
      </c>
    </row>
    <row r="46" spans="1:10" x14ac:dyDescent="0.25">
      <c r="A46" t="str">
        <f xml:space="preserve">  MapNameLkup</f>
        <v>m_ofs_trex_ar_invoices</v>
      </c>
      <c r="B46" s="1" t="s">
        <v>91</v>
      </c>
      <c r="C46" s="1"/>
      <c r="D46" s="1" t="s">
        <v>12</v>
      </c>
      <c r="E46" s="1" t="s">
        <v>148</v>
      </c>
      <c r="F46" s="1"/>
      <c r="G46" s="1" t="s">
        <v>839</v>
      </c>
      <c r="H46">
        <v>37</v>
      </c>
      <c r="I46" s="1" t="s">
        <v>28</v>
      </c>
      <c r="J46" s="1" t="s">
        <v>32</v>
      </c>
    </row>
    <row r="47" spans="1:10" x14ac:dyDescent="0.25">
      <c r="A47" t="str">
        <f xml:space="preserve">  MapNameLkup</f>
        <v>m_ofs_trex_ar_invoices</v>
      </c>
      <c r="B47" s="1" t="s">
        <v>91</v>
      </c>
      <c r="C47" s="1"/>
      <c r="D47" s="1" t="s">
        <v>12</v>
      </c>
      <c r="E47" s="1" t="s">
        <v>149</v>
      </c>
      <c r="F47" s="1"/>
      <c r="G47" s="1" t="s">
        <v>839</v>
      </c>
      <c r="H47">
        <v>38</v>
      </c>
      <c r="I47" s="1" t="s">
        <v>28</v>
      </c>
      <c r="J47" s="1" t="s">
        <v>32</v>
      </c>
    </row>
    <row r="48" spans="1:10" x14ac:dyDescent="0.25">
      <c r="A48" t="str">
        <f xml:space="preserve">  MapNameLkup</f>
        <v>m_ofs_trex_ar_invoices</v>
      </c>
      <c r="B48" s="1" t="s">
        <v>91</v>
      </c>
      <c r="C48" s="1"/>
      <c r="D48" s="1" t="s">
        <v>12</v>
      </c>
      <c r="E48" s="1" t="s">
        <v>150</v>
      </c>
      <c r="F48" s="1"/>
      <c r="G48" s="1" t="s">
        <v>841</v>
      </c>
      <c r="H48">
        <v>39</v>
      </c>
      <c r="I48" s="1" t="s">
        <v>28</v>
      </c>
      <c r="J48" s="1" t="s">
        <v>32</v>
      </c>
    </row>
    <row r="49" spans="1:10" x14ac:dyDescent="0.25">
      <c r="A49" t="str">
        <f xml:space="preserve">  MapNameLkup</f>
        <v>m_ofs_trex_ar_invoices</v>
      </c>
      <c r="B49" s="1" t="s">
        <v>91</v>
      </c>
      <c r="C49" s="1"/>
      <c r="D49" s="1" t="s">
        <v>12</v>
      </c>
      <c r="E49" s="1" t="s">
        <v>151</v>
      </c>
      <c r="F49" s="1"/>
      <c r="G49" s="1" t="s">
        <v>839</v>
      </c>
      <c r="H49">
        <v>40</v>
      </c>
      <c r="I49" s="1" t="s">
        <v>28</v>
      </c>
      <c r="J49" s="1" t="s">
        <v>32</v>
      </c>
    </row>
    <row r="50" spans="1:10" x14ac:dyDescent="0.25">
      <c r="A50" t="str">
        <f xml:space="preserve">  MapNameLkup</f>
        <v>m_ofs_trex_ar_invoices</v>
      </c>
      <c r="B50" s="1" t="s">
        <v>91</v>
      </c>
      <c r="C50" s="1"/>
      <c r="D50" s="1" t="s">
        <v>12</v>
      </c>
      <c r="E50" s="1" t="s">
        <v>152</v>
      </c>
      <c r="F50" s="1"/>
      <c r="G50" s="1" t="s">
        <v>841</v>
      </c>
      <c r="H50">
        <v>41</v>
      </c>
      <c r="I50" s="1" t="s">
        <v>28</v>
      </c>
      <c r="J50" s="1" t="s">
        <v>32</v>
      </c>
    </row>
    <row r="51" spans="1:10" x14ac:dyDescent="0.25">
      <c r="A51" t="str">
        <f xml:space="preserve">  MapNameLkup</f>
        <v>m_ofs_trex_ar_invoices</v>
      </c>
      <c r="B51" s="1" t="s">
        <v>829</v>
      </c>
      <c r="C51" s="1"/>
      <c r="D51" s="1" t="s">
        <v>1</v>
      </c>
      <c r="E51" s="1" t="s">
        <v>838</v>
      </c>
      <c r="F51" s="1"/>
      <c r="G51" s="1" t="s">
        <v>84</v>
      </c>
      <c r="H51">
        <v>1</v>
      </c>
      <c r="I51" s="1" t="s">
        <v>29</v>
      </c>
      <c r="J51" s="1" t="s">
        <v>32</v>
      </c>
    </row>
    <row r="52" spans="1:10" x14ac:dyDescent="0.25">
      <c r="A52" t="str">
        <f xml:space="preserve">  MapNameLkup</f>
        <v>m_ofs_trex_ar_invoices</v>
      </c>
      <c r="B52" s="1" t="s">
        <v>829</v>
      </c>
      <c r="C52" s="1"/>
      <c r="D52" s="1" t="s">
        <v>1</v>
      </c>
      <c r="E52" s="1" t="s">
        <v>326</v>
      </c>
      <c r="F52" s="1"/>
      <c r="G52" s="1" t="s">
        <v>83</v>
      </c>
      <c r="H52">
        <v>2</v>
      </c>
      <c r="I52" s="1" t="s">
        <v>28</v>
      </c>
      <c r="J52" s="1" t="s">
        <v>31</v>
      </c>
    </row>
    <row r="53" spans="1:10" x14ac:dyDescent="0.25">
      <c r="A53" t="str">
        <f xml:space="preserve">  MapNameLkup</f>
        <v>m_ofs_trex_ar_invoices</v>
      </c>
      <c r="B53" s="1" t="s">
        <v>99</v>
      </c>
      <c r="C53" s="1"/>
      <c r="D53" s="1" t="s">
        <v>1</v>
      </c>
      <c r="E53" s="1" t="s">
        <v>510</v>
      </c>
      <c r="F53" s="1"/>
      <c r="G53" s="1" t="s">
        <v>84</v>
      </c>
      <c r="H53">
        <v>1</v>
      </c>
      <c r="I53" s="1" t="s">
        <v>29</v>
      </c>
      <c r="J53" s="1" t="s">
        <v>32</v>
      </c>
    </row>
    <row r="54" spans="1:10" x14ac:dyDescent="0.25">
      <c r="A54" t="str">
        <f xml:space="preserve">  MapNameLkup</f>
        <v>m_ofs_trex_ar_invoices</v>
      </c>
      <c r="B54" s="1" t="s">
        <v>99</v>
      </c>
      <c r="C54" s="1"/>
      <c r="D54" s="1" t="s">
        <v>1</v>
      </c>
      <c r="E54" s="1" t="s">
        <v>511</v>
      </c>
      <c r="F54" s="1"/>
      <c r="G54" s="1" t="s">
        <v>84</v>
      </c>
      <c r="H54">
        <v>2</v>
      </c>
      <c r="I54" s="1" t="s">
        <v>29</v>
      </c>
      <c r="J54" s="1" t="s">
        <v>32</v>
      </c>
    </row>
    <row r="55" spans="1:10" x14ac:dyDescent="0.25">
      <c r="A55" t="str">
        <f xml:space="preserve">  MapNameLkup</f>
        <v>m_ofs_trex_ar_invoices</v>
      </c>
      <c r="B55" s="1" t="s">
        <v>99</v>
      </c>
      <c r="C55" s="1"/>
      <c r="D55" s="1" t="s">
        <v>1</v>
      </c>
      <c r="E55" s="1" t="s">
        <v>154</v>
      </c>
      <c r="F55" s="1"/>
      <c r="G55" s="1" t="s">
        <v>85</v>
      </c>
      <c r="H55">
        <v>3</v>
      </c>
      <c r="I55" s="1" t="s">
        <v>28</v>
      </c>
      <c r="J55" s="1" t="s">
        <v>31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8" tint="-0.499984740745262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 tint="-0.499984740745262"/>
  </sheetPr>
  <dimension ref="A1:K379"/>
  <sheetViews>
    <sheetView showGridLines="0" topLeftCell="H1" workbookViewId="0">
      <selection activeCell="L1" sqref="L1"/>
    </sheetView>
  </sheetViews>
  <sheetFormatPr defaultRowHeight="15" x14ac:dyDescent="0.25"/>
  <cols>
    <col min="1" max="1" width="31.85546875" bestFit="1" customWidth="1"/>
    <col min="2" max="2" width="31.7109375" bestFit="1" customWidth="1"/>
    <col min="3" max="3" width="15" bestFit="1" customWidth="1"/>
    <col min="4" max="4" width="17.28515625" bestFit="1" customWidth="1"/>
    <col min="5" max="5" width="32.28515625" bestFit="1" customWidth="1"/>
    <col min="6" max="6" width="19.28515625" customWidth="1"/>
    <col min="7" max="7" width="34.5703125" bestFit="1" customWidth="1"/>
    <col min="8" max="8" width="18.5703125" bestFit="1" customWidth="1"/>
    <col min="9" max="9" width="24.5703125" bestFit="1" customWidth="1"/>
    <col min="10" max="10" width="27.85546875" customWidth="1"/>
    <col min="11" max="11" width="12.42578125" customWidth="1"/>
  </cols>
  <sheetData>
    <row r="1" spans="1:11" x14ac:dyDescent="0.25">
      <c r="A1" t="s">
        <v>16</v>
      </c>
      <c r="B1" t="s">
        <v>3</v>
      </c>
      <c r="C1" t="s">
        <v>2</v>
      </c>
      <c r="D1" t="s">
        <v>5</v>
      </c>
      <c r="E1" t="s">
        <v>10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34</v>
      </c>
    </row>
    <row r="2" spans="1:11" x14ac:dyDescent="0.25">
      <c r="A2" s="18" t="str">
        <f t="shared" ref="A2:A4" si="0" xml:space="preserve">  MapNameLkup</f>
        <v>m_ofs_trex_ar_invoices</v>
      </c>
      <c r="B2" s="1" t="s">
        <v>845</v>
      </c>
      <c r="C2" s="3"/>
      <c r="D2" s="1" t="s">
        <v>7</v>
      </c>
      <c r="E2" s="1" t="s">
        <v>115</v>
      </c>
      <c r="F2" s="1"/>
      <c r="G2" s="3"/>
      <c r="H2" s="1"/>
      <c r="I2" s="1" t="s">
        <v>41</v>
      </c>
      <c r="J2" s="1"/>
      <c r="K2" s="1" t="s">
        <v>46</v>
      </c>
    </row>
    <row r="3" spans="1:11" x14ac:dyDescent="0.25">
      <c r="A3" s="18" t="str">
        <f t="shared" si="0"/>
        <v>m_ofs_trex_ar_invoices</v>
      </c>
      <c r="B3" s="1" t="s">
        <v>845</v>
      </c>
      <c r="C3" s="3"/>
      <c r="D3" s="1" t="s">
        <v>7</v>
      </c>
      <c r="E3" s="1" t="s">
        <v>116</v>
      </c>
      <c r="F3" s="1"/>
      <c r="G3" s="3"/>
      <c r="H3" s="1"/>
      <c r="I3" s="1" t="s">
        <v>41</v>
      </c>
      <c r="J3" s="1"/>
      <c r="K3" s="1" t="s">
        <v>46</v>
      </c>
    </row>
    <row r="4" spans="1:11" x14ac:dyDescent="0.25">
      <c r="A4" s="18" t="str">
        <f t="shared" si="0"/>
        <v>m_ofs_trex_ar_invoices</v>
      </c>
      <c r="B4" s="1" t="s">
        <v>845</v>
      </c>
      <c r="C4" s="3"/>
      <c r="D4" s="1" t="s">
        <v>7</v>
      </c>
      <c r="E4" s="1" t="s">
        <v>117</v>
      </c>
      <c r="F4" s="1"/>
      <c r="G4" s="1"/>
      <c r="H4" s="1"/>
      <c r="I4" s="1" t="s">
        <v>41</v>
      </c>
      <c r="J4" s="1"/>
      <c r="K4" s="1" t="s">
        <v>947</v>
      </c>
    </row>
    <row r="5" spans="1:11" x14ac:dyDescent="0.25">
      <c r="A5" s="18" t="str">
        <f t="shared" ref="A5:A26" si="1" xml:space="preserve">  MapNameLkup</f>
        <v>m_ofs_trex_ar_invoices</v>
      </c>
      <c r="B5" s="1" t="s">
        <v>845</v>
      </c>
      <c r="C5" s="3"/>
      <c r="D5" s="1" t="s">
        <v>7</v>
      </c>
      <c r="E5" s="1" t="s">
        <v>118</v>
      </c>
      <c r="F5" s="1"/>
      <c r="G5" s="1"/>
      <c r="H5" s="1"/>
      <c r="I5" s="1" t="s">
        <v>41</v>
      </c>
      <c r="J5" s="1"/>
      <c r="K5" s="1" t="s">
        <v>947</v>
      </c>
    </row>
    <row r="6" spans="1:11" x14ac:dyDescent="0.25">
      <c r="A6" s="18" t="str">
        <f t="shared" si="1"/>
        <v>m_ofs_trex_ar_invoices</v>
      </c>
      <c r="B6" s="1" t="s">
        <v>845</v>
      </c>
      <c r="C6" s="3"/>
      <c r="D6" s="1" t="s">
        <v>7</v>
      </c>
      <c r="E6" s="1" t="s">
        <v>119</v>
      </c>
      <c r="F6" s="1"/>
      <c r="G6" s="1"/>
      <c r="H6" s="1"/>
      <c r="I6" s="1" t="s">
        <v>41</v>
      </c>
      <c r="J6" s="1"/>
      <c r="K6" s="1" t="s">
        <v>46</v>
      </c>
    </row>
    <row r="7" spans="1:11" x14ac:dyDescent="0.25">
      <c r="A7" s="18" t="str">
        <f t="shared" si="1"/>
        <v>m_ofs_trex_ar_invoices</v>
      </c>
      <c r="B7" s="1" t="s">
        <v>845</v>
      </c>
      <c r="C7" s="3"/>
      <c r="D7" s="1" t="s">
        <v>7</v>
      </c>
      <c r="E7" s="1" t="s">
        <v>120</v>
      </c>
      <c r="F7" s="1"/>
      <c r="G7" s="1"/>
      <c r="H7" s="1"/>
      <c r="I7" s="1" t="s">
        <v>41</v>
      </c>
      <c r="J7" s="1"/>
      <c r="K7" s="1" t="s">
        <v>46</v>
      </c>
    </row>
    <row r="8" spans="1:11" x14ac:dyDescent="0.25">
      <c r="A8" s="18" t="str">
        <f t="shared" si="1"/>
        <v>m_ofs_trex_ar_invoices</v>
      </c>
      <c r="B8" s="1" t="s">
        <v>845</v>
      </c>
      <c r="C8" s="3"/>
      <c r="D8" s="1" t="s">
        <v>7</v>
      </c>
      <c r="E8" s="1" t="s">
        <v>121</v>
      </c>
      <c r="F8" s="1"/>
      <c r="G8" s="1"/>
      <c r="H8" s="1"/>
      <c r="I8" s="1" t="s">
        <v>41</v>
      </c>
      <c r="J8" s="1"/>
      <c r="K8" s="1" t="s">
        <v>46</v>
      </c>
    </row>
    <row r="9" spans="1:11" x14ac:dyDescent="0.25">
      <c r="A9" s="18" t="str">
        <f t="shared" si="1"/>
        <v>m_ofs_trex_ar_invoices</v>
      </c>
      <c r="B9" s="1" t="s">
        <v>845</v>
      </c>
      <c r="C9" s="3"/>
      <c r="D9" s="1" t="s">
        <v>7</v>
      </c>
      <c r="E9" s="1" t="s">
        <v>122</v>
      </c>
      <c r="F9" s="1"/>
      <c r="G9" s="1"/>
      <c r="H9" s="1"/>
      <c r="I9" s="1" t="s">
        <v>41</v>
      </c>
      <c r="J9" s="1"/>
      <c r="K9" s="1" t="s">
        <v>46</v>
      </c>
    </row>
    <row r="10" spans="1:11" x14ac:dyDescent="0.25">
      <c r="A10" s="18" t="str">
        <f t="shared" si="1"/>
        <v>m_ofs_trex_ar_invoices</v>
      </c>
      <c r="B10" s="1" t="s">
        <v>845</v>
      </c>
      <c r="C10" s="3"/>
      <c r="D10" s="1" t="s">
        <v>7</v>
      </c>
      <c r="E10" s="1" t="s">
        <v>123</v>
      </c>
      <c r="F10" s="1"/>
      <c r="G10" s="1"/>
      <c r="H10" s="1"/>
      <c r="I10" s="1" t="s">
        <v>41</v>
      </c>
      <c r="J10" s="1"/>
      <c r="K10" s="1" t="s">
        <v>947</v>
      </c>
    </row>
    <row r="11" spans="1:11" x14ac:dyDescent="0.25">
      <c r="A11" s="18" t="str">
        <f t="shared" si="1"/>
        <v>m_ofs_trex_ar_invoices</v>
      </c>
      <c r="B11" s="1" t="s">
        <v>845</v>
      </c>
      <c r="C11" s="3"/>
      <c r="D11" s="1" t="s">
        <v>7</v>
      </c>
      <c r="E11" s="1" t="s">
        <v>124</v>
      </c>
      <c r="F11" s="1"/>
      <c r="G11" s="1"/>
      <c r="H11" s="1"/>
      <c r="I11" s="1" t="s">
        <v>41</v>
      </c>
      <c r="J11" s="1"/>
      <c r="K11" s="1" t="s">
        <v>46</v>
      </c>
    </row>
    <row r="12" spans="1:11" x14ac:dyDescent="0.25">
      <c r="A12" s="18" t="str">
        <f t="shared" si="1"/>
        <v>m_ofs_trex_ar_invoices</v>
      </c>
      <c r="B12" s="1" t="s">
        <v>845</v>
      </c>
      <c r="C12" s="3"/>
      <c r="D12" s="1" t="s">
        <v>7</v>
      </c>
      <c r="E12" s="1" t="s">
        <v>125</v>
      </c>
      <c r="F12" s="1"/>
      <c r="G12" s="1"/>
      <c r="H12" s="1"/>
      <c r="I12" s="1" t="s">
        <v>41</v>
      </c>
      <c r="J12" s="1"/>
      <c r="K12" s="1" t="s">
        <v>46</v>
      </c>
    </row>
    <row r="13" spans="1:11" x14ac:dyDescent="0.25">
      <c r="A13" s="18" t="str">
        <f t="shared" si="1"/>
        <v>m_ofs_trex_ar_invoices</v>
      </c>
      <c r="B13" s="1" t="s">
        <v>845</v>
      </c>
      <c r="C13" s="3"/>
      <c r="D13" s="1" t="s">
        <v>7</v>
      </c>
      <c r="E13" s="1" t="s">
        <v>126</v>
      </c>
      <c r="F13" s="1"/>
      <c r="G13" s="1"/>
      <c r="H13" s="1"/>
      <c r="I13" s="1" t="s">
        <v>41</v>
      </c>
      <c r="J13" s="1"/>
      <c r="K13" s="1" t="s">
        <v>46</v>
      </c>
    </row>
    <row r="14" spans="1:11" x14ac:dyDescent="0.25">
      <c r="A14" s="18" t="str">
        <f t="shared" si="1"/>
        <v>m_ofs_trex_ar_invoices</v>
      </c>
      <c r="B14" s="1" t="s">
        <v>845</v>
      </c>
      <c r="C14" s="3"/>
      <c r="D14" s="1" t="s">
        <v>7</v>
      </c>
      <c r="E14" s="1" t="s">
        <v>127</v>
      </c>
      <c r="F14" s="1"/>
      <c r="G14" s="1"/>
      <c r="H14" s="1"/>
      <c r="I14" s="1" t="s">
        <v>41</v>
      </c>
      <c r="J14" s="1"/>
      <c r="K14" s="1" t="s">
        <v>45</v>
      </c>
    </row>
    <row r="15" spans="1:11" x14ac:dyDescent="0.25">
      <c r="A15" s="18" t="str">
        <f t="shared" si="1"/>
        <v>m_ofs_trex_ar_invoices</v>
      </c>
      <c r="B15" s="1" t="s">
        <v>845</v>
      </c>
      <c r="C15" s="3"/>
      <c r="D15" s="1" t="s">
        <v>7</v>
      </c>
      <c r="E15" s="1" t="s">
        <v>128</v>
      </c>
      <c r="F15" s="1"/>
      <c r="G15" s="3"/>
      <c r="H15" s="1"/>
      <c r="I15" s="1" t="s">
        <v>41</v>
      </c>
      <c r="J15" s="1"/>
      <c r="K15" s="1" t="s">
        <v>45</v>
      </c>
    </row>
    <row r="16" spans="1:11" x14ac:dyDescent="0.25">
      <c r="A16" s="18" t="str">
        <f t="shared" si="1"/>
        <v>m_ofs_trex_ar_invoices</v>
      </c>
      <c r="B16" s="1" t="s">
        <v>845</v>
      </c>
      <c r="C16" s="3"/>
      <c r="D16" s="1" t="s">
        <v>7</v>
      </c>
      <c r="E16" s="1" t="s">
        <v>129</v>
      </c>
      <c r="F16" s="1"/>
      <c r="G16" s="1"/>
      <c r="H16" s="1"/>
      <c r="I16" s="1" t="s">
        <v>41</v>
      </c>
      <c r="J16" s="1"/>
      <c r="K16" s="1" t="s">
        <v>46</v>
      </c>
    </row>
    <row r="17" spans="1:11" x14ac:dyDescent="0.25">
      <c r="A17" s="18" t="str">
        <f t="shared" si="1"/>
        <v>m_ofs_trex_ar_invoices</v>
      </c>
      <c r="B17" s="1" t="s">
        <v>845</v>
      </c>
      <c r="C17" s="1"/>
      <c r="D17" s="1" t="s">
        <v>7</v>
      </c>
      <c r="E17" s="1" t="s">
        <v>130</v>
      </c>
      <c r="F17" s="1"/>
      <c r="G17" s="1"/>
      <c r="H17" s="1"/>
      <c r="I17" s="1" t="s">
        <v>41</v>
      </c>
      <c r="J17" s="1"/>
      <c r="K17" s="1" t="s">
        <v>46</v>
      </c>
    </row>
    <row r="18" spans="1:11" x14ac:dyDescent="0.25">
      <c r="A18" s="18" t="str">
        <f t="shared" si="1"/>
        <v>m_ofs_trex_ar_invoices</v>
      </c>
      <c r="B18" s="1" t="s">
        <v>845</v>
      </c>
      <c r="C18" s="1"/>
      <c r="D18" s="1" t="s">
        <v>7</v>
      </c>
      <c r="E18" s="1" t="s">
        <v>131</v>
      </c>
      <c r="F18" s="1"/>
      <c r="G18" s="1"/>
      <c r="H18" s="1"/>
      <c r="I18" s="1" t="s">
        <v>41</v>
      </c>
      <c r="J18" s="1"/>
      <c r="K18" s="1" t="s">
        <v>47</v>
      </c>
    </row>
    <row r="19" spans="1:11" x14ac:dyDescent="0.25">
      <c r="A19" s="18" t="str">
        <f t="shared" si="1"/>
        <v>m_ofs_trex_ar_invoices</v>
      </c>
      <c r="B19" s="1" t="s">
        <v>845</v>
      </c>
      <c r="C19" s="1"/>
      <c r="D19" s="1" t="s">
        <v>7</v>
      </c>
      <c r="E19" s="1" t="s">
        <v>132</v>
      </c>
      <c r="F19" s="1"/>
      <c r="G19" s="1"/>
      <c r="H19" s="1"/>
      <c r="I19" s="1" t="s">
        <v>41</v>
      </c>
      <c r="J19" s="1"/>
      <c r="K19" s="1" t="s">
        <v>47</v>
      </c>
    </row>
    <row r="20" spans="1:11" x14ac:dyDescent="0.25">
      <c r="A20" s="18" t="str">
        <f t="shared" si="1"/>
        <v>m_ofs_trex_ar_invoices</v>
      </c>
      <c r="B20" s="1" t="s">
        <v>845</v>
      </c>
      <c r="C20" s="1"/>
      <c r="D20" s="1" t="s">
        <v>7</v>
      </c>
      <c r="E20" s="1" t="s">
        <v>133</v>
      </c>
      <c r="F20" s="1"/>
      <c r="G20" s="1"/>
      <c r="H20" s="1"/>
      <c r="I20" s="1" t="s">
        <v>41</v>
      </c>
      <c r="J20" s="1"/>
      <c r="K20" s="1" t="s">
        <v>47</v>
      </c>
    </row>
    <row r="21" spans="1:11" x14ac:dyDescent="0.25">
      <c r="A21" s="18" t="str">
        <f t="shared" si="1"/>
        <v>m_ofs_trex_ar_invoices</v>
      </c>
      <c r="B21" s="1" t="s">
        <v>845</v>
      </c>
      <c r="C21" s="1"/>
      <c r="D21" s="1" t="s">
        <v>7</v>
      </c>
      <c r="E21" s="1" t="s">
        <v>134</v>
      </c>
      <c r="F21" s="1"/>
      <c r="G21" s="1"/>
      <c r="H21" s="1"/>
      <c r="I21" s="1" t="s">
        <v>41</v>
      </c>
      <c r="J21" s="1"/>
      <c r="K21" s="1" t="s">
        <v>47</v>
      </c>
    </row>
    <row r="22" spans="1:11" x14ac:dyDescent="0.25">
      <c r="A22" s="18" t="str">
        <f t="shared" si="1"/>
        <v>m_ofs_trex_ar_invoices</v>
      </c>
      <c r="B22" s="1" t="s">
        <v>845</v>
      </c>
      <c r="C22" s="1"/>
      <c r="D22" s="1" t="s">
        <v>7</v>
      </c>
      <c r="E22" s="1" t="s">
        <v>135</v>
      </c>
      <c r="F22" s="1"/>
      <c r="G22" s="1"/>
      <c r="H22" s="1"/>
      <c r="I22" s="1" t="s">
        <v>41</v>
      </c>
      <c r="J22" s="1"/>
      <c r="K22" s="1" t="s">
        <v>47</v>
      </c>
    </row>
    <row r="23" spans="1:11" x14ac:dyDescent="0.25">
      <c r="A23" s="18" t="str">
        <f t="shared" si="1"/>
        <v>m_ofs_trex_ar_invoices</v>
      </c>
      <c r="B23" s="1" t="s">
        <v>845</v>
      </c>
      <c r="C23" s="1"/>
      <c r="D23" s="1" t="s">
        <v>7</v>
      </c>
      <c r="E23" s="1" t="s">
        <v>136</v>
      </c>
      <c r="F23" s="1"/>
      <c r="G23" s="1"/>
      <c r="H23" s="1"/>
      <c r="I23" s="1" t="s">
        <v>41</v>
      </c>
      <c r="J23" s="1"/>
      <c r="K23" s="1" t="s">
        <v>47</v>
      </c>
    </row>
    <row r="24" spans="1:11" x14ac:dyDescent="0.25">
      <c r="A24" s="18" t="str">
        <f t="shared" si="1"/>
        <v>m_ofs_trex_ar_invoices</v>
      </c>
      <c r="B24" s="1" t="s">
        <v>845</v>
      </c>
      <c r="C24" s="1"/>
      <c r="D24" s="1" t="s">
        <v>7</v>
      </c>
      <c r="E24" s="1" t="s">
        <v>137</v>
      </c>
      <c r="F24" s="1"/>
      <c r="G24" s="1"/>
      <c r="H24" s="1"/>
      <c r="I24" s="1" t="s">
        <v>41</v>
      </c>
      <c r="J24" s="1"/>
      <c r="K24" s="1" t="s">
        <v>46</v>
      </c>
    </row>
    <row r="25" spans="1:11" x14ac:dyDescent="0.25">
      <c r="A25" s="18" t="str">
        <f t="shared" si="1"/>
        <v>m_ofs_trex_ar_invoices</v>
      </c>
      <c r="B25" s="1" t="s">
        <v>845</v>
      </c>
      <c r="C25" s="1"/>
      <c r="D25" s="1" t="s">
        <v>7</v>
      </c>
      <c r="E25" s="1" t="s">
        <v>138</v>
      </c>
      <c r="F25" s="1"/>
      <c r="G25" s="1"/>
      <c r="H25" s="1"/>
      <c r="I25" s="1" t="s">
        <v>41</v>
      </c>
      <c r="J25" s="1"/>
      <c r="K25" s="1" t="s">
        <v>46</v>
      </c>
    </row>
    <row r="26" spans="1:11" x14ac:dyDescent="0.25">
      <c r="A26" s="18" t="str">
        <f t="shared" si="1"/>
        <v>m_ofs_trex_ar_invoices</v>
      </c>
      <c r="B26" s="1" t="s">
        <v>845</v>
      </c>
      <c r="C26" s="1"/>
      <c r="D26" s="1" t="s">
        <v>7</v>
      </c>
      <c r="E26" s="1" t="s">
        <v>139</v>
      </c>
      <c r="F26" s="1"/>
      <c r="G26" s="1"/>
      <c r="H26" s="1"/>
      <c r="I26" s="1" t="s">
        <v>41</v>
      </c>
      <c r="J26" s="1"/>
      <c r="K26" s="1" t="s">
        <v>46</v>
      </c>
    </row>
    <row r="27" spans="1:11" x14ac:dyDescent="0.25">
      <c r="A27" s="18" t="str">
        <f xml:space="preserve">  MapNameLkup</f>
        <v>m_ofs_trex_ar_invoices</v>
      </c>
      <c r="B27" s="1" t="s">
        <v>845</v>
      </c>
      <c r="C27" s="1"/>
      <c r="D27" s="1" t="s">
        <v>7</v>
      </c>
      <c r="E27" s="1" t="s">
        <v>140</v>
      </c>
      <c r="F27" s="1"/>
      <c r="G27" s="1"/>
      <c r="H27" s="1"/>
      <c r="I27" s="1" t="s">
        <v>41</v>
      </c>
      <c r="J27" s="1"/>
      <c r="K27" s="1" t="s">
        <v>46</v>
      </c>
    </row>
    <row r="28" spans="1:11" x14ac:dyDescent="0.25">
      <c r="A28" s="18" t="str">
        <f xml:space="preserve">  MapNameLkup</f>
        <v>m_ofs_trex_ar_invoices</v>
      </c>
      <c r="B28" s="1" t="s">
        <v>845</v>
      </c>
      <c r="C28" s="1"/>
      <c r="D28" s="1" t="s">
        <v>7</v>
      </c>
      <c r="E28" s="1" t="s">
        <v>141</v>
      </c>
      <c r="F28" s="1"/>
      <c r="G28" s="1"/>
      <c r="H28" s="1"/>
      <c r="I28" s="1" t="s">
        <v>41</v>
      </c>
      <c r="J28" s="1"/>
      <c r="K28" s="1" t="s">
        <v>46</v>
      </c>
    </row>
    <row r="29" spans="1:11" x14ac:dyDescent="0.25">
      <c r="A29" s="18" t="str">
        <f xml:space="preserve">  MapNameLkup</f>
        <v>m_ofs_trex_ar_invoices</v>
      </c>
      <c r="B29" s="1" t="s">
        <v>845</v>
      </c>
      <c r="C29" s="1"/>
      <c r="D29" s="1" t="s">
        <v>7</v>
      </c>
      <c r="E29" s="1" t="s">
        <v>142</v>
      </c>
      <c r="F29" s="1"/>
      <c r="G29" s="1"/>
      <c r="H29" s="1"/>
      <c r="I29" s="1" t="s">
        <v>41</v>
      </c>
      <c r="J29" s="1"/>
      <c r="K29" s="1" t="s">
        <v>45</v>
      </c>
    </row>
    <row r="30" spans="1:11" x14ac:dyDescent="0.25">
      <c r="A30" s="18" t="str">
        <f xml:space="preserve">  MapNameLkup</f>
        <v>m_ofs_trex_ar_invoices</v>
      </c>
      <c r="B30" s="1" t="s">
        <v>845</v>
      </c>
      <c r="C30" s="1"/>
      <c r="D30" s="1" t="s">
        <v>7</v>
      </c>
      <c r="E30" s="1" t="s">
        <v>143</v>
      </c>
      <c r="F30" s="1"/>
      <c r="G30" s="1"/>
      <c r="H30" s="1"/>
      <c r="I30" s="1" t="s">
        <v>41</v>
      </c>
      <c r="J30" s="1"/>
      <c r="K30" s="1" t="s">
        <v>45</v>
      </c>
    </row>
    <row r="31" spans="1:11" x14ac:dyDescent="0.25">
      <c r="A31" s="18" t="str">
        <f xml:space="preserve">  MapNameLkup</f>
        <v>m_ofs_trex_ar_invoices</v>
      </c>
      <c r="B31" s="1" t="s">
        <v>845</v>
      </c>
      <c r="C31" s="1"/>
      <c r="D31" s="1" t="s">
        <v>7</v>
      </c>
      <c r="E31" s="1" t="s">
        <v>144</v>
      </c>
      <c r="F31" s="1"/>
      <c r="G31" s="1"/>
      <c r="H31" s="1"/>
      <c r="I31" s="1" t="s">
        <v>41</v>
      </c>
      <c r="J31" s="1"/>
      <c r="K31" s="1" t="s">
        <v>45</v>
      </c>
    </row>
    <row r="32" spans="1:11" x14ac:dyDescent="0.25">
      <c r="A32" s="18" t="str">
        <f xml:space="preserve">  MapNameLkup</f>
        <v>m_ofs_trex_ar_invoices</v>
      </c>
      <c r="B32" s="1" t="s">
        <v>845</v>
      </c>
      <c r="C32" s="1"/>
      <c r="D32" s="1" t="s">
        <v>7</v>
      </c>
      <c r="E32" s="1" t="s">
        <v>145</v>
      </c>
      <c r="F32" s="1"/>
      <c r="G32" s="1"/>
      <c r="H32" s="1"/>
      <c r="I32" s="1" t="s">
        <v>41</v>
      </c>
      <c r="J32" s="1"/>
      <c r="K32" s="1" t="s">
        <v>45</v>
      </c>
    </row>
    <row r="33" spans="1:11" x14ac:dyDescent="0.25">
      <c r="A33" s="18" t="str">
        <f xml:space="preserve">  MapNameLkup</f>
        <v>m_ofs_trex_ar_invoices</v>
      </c>
      <c r="B33" s="1" t="s">
        <v>846</v>
      </c>
      <c r="C33" s="1"/>
      <c r="D33" s="1" t="s">
        <v>6</v>
      </c>
      <c r="E33" s="1" t="s">
        <v>864</v>
      </c>
      <c r="F33" s="1"/>
      <c r="G33" s="1" t="s">
        <v>923</v>
      </c>
      <c r="H33" s="1" t="s">
        <v>8</v>
      </c>
      <c r="I33" s="1" t="s">
        <v>42</v>
      </c>
      <c r="J33" s="1" t="s">
        <v>43</v>
      </c>
      <c r="K33" s="1" t="s">
        <v>46</v>
      </c>
    </row>
    <row r="34" spans="1:11" x14ac:dyDescent="0.25">
      <c r="A34" s="18" t="str">
        <f xml:space="preserve">  MapNameLkup</f>
        <v>m_ofs_trex_ar_invoices</v>
      </c>
      <c r="B34" s="1" t="s">
        <v>846</v>
      </c>
      <c r="C34" s="1"/>
      <c r="D34" s="1" t="s">
        <v>6</v>
      </c>
      <c r="E34" s="1" t="s">
        <v>123</v>
      </c>
      <c r="F34" s="1"/>
      <c r="G34" s="1" t="s">
        <v>123</v>
      </c>
      <c r="H34" s="1" t="s">
        <v>8</v>
      </c>
      <c r="I34" s="1" t="s">
        <v>41</v>
      </c>
      <c r="J34" s="1"/>
      <c r="K34" s="1" t="s">
        <v>44</v>
      </c>
    </row>
    <row r="35" spans="1:11" x14ac:dyDescent="0.25">
      <c r="A35" s="18" t="str">
        <f xml:space="preserve">  MapNameLkup</f>
        <v>m_ofs_trex_ar_invoices</v>
      </c>
      <c r="B35" s="1" t="s">
        <v>847</v>
      </c>
      <c r="C35" s="1"/>
      <c r="D35" s="1" t="s">
        <v>7</v>
      </c>
      <c r="E35" s="1" t="s">
        <v>123</v>
      </c>
      <c r="F35" s="1"/>
      <c r="G35" s="1"/>
      <c r="H35" s="1"/>
      <c r="I35" s="1" t="s">
        <v>41</v>
      </c>
      <c r="J35" s="1"/>
      <c r="K35" s="1" t="s">
        <v>44</v>
      </c>
    </row>
    <row r="36" spans="1:11" x14ac:dyDescent="0.25">
      <c r="A36" s="18" t="str">
        <f xml:space="preserve">  MapNameLkup</f>
        <v>m_ofs_trex_ar_invoices</v>
      </c>
      <c r="B36" s="1" t="s">
        <v>848</v>
      </c>
      <c r="C36" s="1"/>
      <c r="D36" s="1" t="s">
        <v>7</v>
      </c>
      <c r="E36" s="1" t="s">
        <v>123</v>
      </c>
      <c r="F36" s="1"/>
      <c r="G36" s="1"/>
      <c r="H36" s="1"/>
      <c r="I36" s="1" t="s">
        <v>41</v>
      </c>
      <c r="J36" s="1"/>
      <c r="K36" s="1" t="s">
        <v>947</v>
      </c>
    </row>
    <row r="37" spans="1:11" x14ac:dyDescent="0.25">
      <c r="A37" s="18" t="str">
        <f xml:space="preserve">  MapNameLkup</f>
        <v>m_ofs_trex_ar_invoices</v>
      </c>
      <c r="B37" s="1" t="s">
        <v>849</v>
      </c>
      <c r="C37" s="1"/>
      <c r="D37" s="1" t="s">
        <v>6</v>
      </c>
      <c r="E37" s="1" t="s">
        <v>830</v>
      </c>
      <c r="F37" s="1"/>
      <c r="G37" s="1" t="s">
        <v>924</v>
      </c>
      <c r="H37" s="1" t="s">
        <v>8</v>
      </c>
      <c r="I37" s="1" t="s">
        <v>42</v>
      </c>
      <c r="J37" s="1" t="s">
        <v>43</v>
      </c>
      <c r="K37" s="1" t="s">
        <v>46</v>
      </c>
    </row>
    <row r="38" spans="1:11" x14ac:dyDescent="0.25">
      <c r="A38" s="18" t="str">
        <f xml:space="preserve">  MapNameLkup</f>
        <v>m_ofs_trex_ar_invoices</v>
      </c>
      <c r="B38" s="1" t="s">
        <v>849</v>
      </c>
      <c r="C38" s="1"/>
      <c r="D38" s="1" t="s">
        <v>6</v>
      </c>
      <c r="E38" s="1" t="s">
        <v>123</v>
      </c>
      <c r="F38" s="1"/>
      <c r="G38" s="1" t="s">
        <v>123</v>
      </c>
      <c r="H38" s="1" t="s">
        <v>8</v>
      </c>
      <c r="I38" s="1" t="s">
        <v>41</v>
      </c>
      <c r="J38" s="1"/>
      <c r="K38" s="1" t="s">
        <v>947</v>
      </c>
    </row>
    <row r="39" spans="1:11" x14ac:dyDescent="0.25">
      <c r="A39" s="18" t="str">
        <f xml:space="preserve">  MapNameLkup</f>
        <v>m_ofs_trex_ar_invoices</v>
      </c>
      <c r="B39" s="1" t="s">
        <v>849</v>
      </c>
      <c r="C39" s="1"/>
      <c r="D39" s="1" t="s">
        <v>6</v>
      </c>
      <c r="E39" s="1" t="s">
        <v>865</v>
      </c>
      <c r="F39" s="1"/>
      <c r="G39" s="1" t="s">
        <v>923</v>
      </c>
      <c r="H39" s="1" t="s">
        <v>8</v>
      </c>
      <c r="I39" s="1" t="s">
        <v>42</v>
      </c>
      <c r="J39" s="1" t="s">
        <v>43</v>
      </c>
      <c r="K39" s="1" t="s">
        <v>46</v>
      </c>
    </row>
    <row r="40" spans="1:11" x14ac:dyDescent="0.25">
      <c r="A40" s="18" t="str">
        <f xml:space="preserve">  MapNameLkup</f>
        <v>m_ofs_trex_ar_invoices</v>
      </c>
      <c r="B40" s="1" t="s">
        <v>849</v>
      </c>
      <c r="C40" s="1"/>
      <c r="D40" s="1" t="s">
        <v>6</v>
      </c>
      <c r="E40" s="1" t="s">
        <v>866</v>
      </c>
      <c r="F40" s="1"/>
      <c r="G40" s="1" t="s">
        <v>925</v>
      </c>
      <c r="H40" s="1" t="s">
        <v>8</v>
      </c>
      <c r="I40" s="1" t="s">
        <v>42</v>
      </c>
      <c r="J40" s="1" t="s">
        <v>43</v>
      </c>
      <c r="K40" s="1" t="s">
        <v>45</v>
      </c>
    </row>
    <row r="41" spans="1:11" x14ac:dyDescent="0.25">
      <c r="A41" s="18" t="str">
        <f xml:space="preserve">  MapNameLkup</f>
        <v>m_ofs_trex_ar_invoices</v>
      </c>
      <c r="B41" s="1" t="s">
        <v>850</v>
      </c>
      <c r="C41" s="1"/>
      <c r="D41" s="1" t="s">
        <v>7</v>
      </c>
      <c r="E41" s="1" t="s">
        <v>867</v>
      </c>
      <c r="F41" s="1"/>
      <c r="G41" s="1"/>
      <c r="H41" s="1"/>
      <c r="I41" s="1" t="s">
        <v>41</v>
      </c>
      <c r="J41" s="1"/>
      <c r="K41" s="1" t="s">
        <v>46</v>
      </c>
    </row>
    <row r="42" spans="1:11" x14ac:dyDescent="0.25">
      <c r="A42" s="18" t="str">
        <f xml:space="preserve">  MapNameLkup</f>
        <v>m_ofs_trex_ar_invoices</v>
      </c>
      <c r="B42" s="1" t="s">
        <v>850</v>
      </c>
      <c r="C42" s="1"/>
      <c r="D42" s="1" t="s">
        <v>7</v>
      </c>
      <c r="E42" s="1" t="s">
        <v>868</v>
      </c>
      <c r="F42" s="1"/>
      <c r="G42" s="1"/>
      <c r="H42" s="1"/>
      <c r="I42" s="1" t="s">
        <v>41</v>
      </c>
      <c r="J42" s="1"/>
      <c r="K42" s="1" t="s">
        <v>46</v>
      </c>
    </row>
    <row r="43" spans="1:11" x14ac:dyDescent="0.25">
      <c r="A43" s="18" t="str">
        <f xml:space="preserve">  MapNameLkup</f>
        <v>m_ofs_trex_ar_invoices</v>
      </c>
      <c r="B43" s="1" t="s">
        <v>851</v>
      </c>
      <c r="C43" s="1"/>
      <c r="D43" s="1" t="s">
        <v>6</v>
      </c>
      <c r="E43" s="1" t="s">
        <v>867</v>
      </c>
      <c r="F43" s="1"/>
      <c r="G43" s="1" t="s">
        <v>867</v>
      </c>
      <c r="H43" s="1" t="s">
        <v>8</v>
      </c>
      <c r="I43" s="1" t="s">
        <v>41</v>
      </c>
      <c r="J43" s="1"/>
      <c r="K43" s="1" t="s">
        <v>46</v>
      </c>
    </row>
    <row r="44" spans="1:11" x14ac:dyDescent="0.25">
      <c r="A44" s="18" t="str">
        <f xml:space="preserve">  MapNameLkup</f>
        <v>m_ofs_trex_ar_invoices</v>
      </c>
      <c r="B44" s="1" t="s">
        <v>851</v>
      </c>
      <c r="C44" s="1"/>
      <c r="D44" s="1" t="s">
        <v>6</v>
      </c>
      <c r="E44" s="1" t="s">
        <v>868</v>
      </c>
      <c r="F44" s="1"/>
      <c r="G44" s="1" t="s">
        <v>868</v>
      </c>
      <c r="H44" s="1" t="s">
        <v>8</v>
      </c>
      <c r="I44" s="1" t="s">
        <v>41</v>
      </c>
      <c r="J44" s="1"/>
      <c r="K44" s="1" t="s">
        <v>46</v>
      </c>
    </row>
    <row r="45" spans="1:11" x14ac:dyDescent="0.25">
      <c r="A45" s="18" t="str">
        <f xml:space="preserve">  MapNameLkup</f>
        <v>m_ofs_trex_ar_invoices</v>
      </c>
      <c r="B45" s="1" t="s">
        <v>851</v>
      </c>
      <c r="C45" s="1"/>
      <c r="D45" s="1" t="s">
        <v>6</v>
      </c>
      <c r="E45" s="1" t="s">
        <v>869</v>
      </c>
      <c r="F45" s="1"/>
      <c r="G45" s="1" t="s">
        <v>925</v>
      </c>
      <c r="H45" s="1" t="s">
        <v>8</v>
      </c>
      <c r="I45" s="1" t="s">
        <v>42</v>
      </c>
      <c r="J45" s="1" t="s">
        <v>43</v>
      </c>
      <c r="K45" s="1" t="s">
        <v>45</v>
      </c>
    </row>
    <row r="46" spans="1:11" x14ac:dyDescent="0.25">
      <c r="A46" s="18" t="str">
        <f xml:space="preserve">  MapNameLkup</f>
        <v>m_ofs_trex_ar_invoices</v>
      </c>
      <c r="B46" s="1" t="s">
        <v>852</v>
      </c>
      <c r="C46" s="1"/>
      <c r="D46" s="1" t="s">
        <v>66</v>
      </c>
      <c r="E46" s="1" t="s">
        <v>867</v>
      </c>
      <c r="F46" s="1"/>
      <c r="G46" s="1"/>
      <c r="H46" s="1"/>
      <c r="I46" s="1" t="s">
        <v>41</v>
      </c>
      <c r="J46" s="1"/>
      <c r="K46" s="1" t="s">
        <v>46</v>
      </c>
    </row>
    <row r="47" spans="1:11" x14ac:dyDescent="0.25">
      <c r="A47" s="18" t="str">
        <f xml:space="preserve">  MapNameLkup</f>
        <v>m_ofs_trex_ar_invoices</v>
      </c>
      <c r="B47" s="1" t="s">
        <v>852</v>
      </c>
      <c r="C47" s="1"/>
      <c r="D47" s="1" t="s">
        <v>66</v>
      </c>
      <c r="E47" s="1" t="s">
        <v>868</v>
      </c>
      <c r="F47" s="1"/>
      <c r="G47" s="1"/>
      <c r="H47" s="1"/>
      <c r="I47" s="1" t="s">
        <v>41</v>
      </c>
      <c r="J47" s="1"/>
      <c r="K47" s="1" t="s">
        <v>46</v>
      </c>
    </row>
    <row r="48" spans="1:11" x14ac:dyDescent="0.25">
      <c r="A48" s="18" t="str">
        <f xml:space="preserve">  MapNameLkup</f>
        <v>m_ofs_trex_ar_invoices</v>
      </c>
      <c r="B48" s="1" t="s">
        <v>852</v>
      </c>
      <c r="C48" s="1"/>
      <c r="D48" s="1" t="s">
        <v>66</v>
      </c>
      <c r="E48" s="1" t="s">
        <v>869</v>
      </c>
      <c r="F48" s="1"/>
      <c r="G48" s="1"/>
      <c r="H48" s="1"/>
      <c r="I48" s="1" t="s">
        <v>41</v>
      </c>
      <c r="J48" s="1"/>
      <c r="K48" s="1" t="s">
        <v>45</v>
      </c>
    </row>
    <row r="49" spans="1:11" x14ac:dyDescent="0.25">
      <c r="A49" s="18" t="str">
        <f xml:space="preserve">  MapNameLkup</f>
        <v>m_ofs_trex_ar_invoices</v>
      </c>
      <c r="B49" s="1" t="s">
        <v>853</v>
      </c>
      <c r="C49" s="1"/>
      <c r="D49" s="1" t="s">
        <v>863</v>
      </c>
      <c r="E49" s="1" t="s">
        <v>112</v>
      </c>
      <c r="F49" s="1"/>
      <c r="G49" s="1"/>
      <c r="H49" s="1"/>
      <c r="I49" s="1" t="s">
        <v>41</v>
      </c>
      <c r="J49" s="1"/>
      <c r="K49" s="1" t="s">
        <v>840</v>
      </c>
    </row>
    <row r="50" spans="1:11" x14ac:dyDescent="0.25">
      <c r="A50" s="18" t="str">
        <f xml:space="preserve">  MapNameLkup</f>
        <v>m_ofs_trex_ar_invoices</v>
      </c>
      <c r="B50" s="1" t="s">
        <v>853</v>
      </c>
      <c r="C50" s="1"/>
      <c r="D50" s="1" t="s">
        <v>863</v>
      </c>
      <c r="E50" s="1" t="s">
        <v>113</v>
      </c>
      <c r="F50" s="1"/>
      <c r="G50" s="1"/>
      <c r="H50" s="1"/>
      <c r="I50" s="1" t="s">
        <v>41</v>
      </c>
      <c r="J50" s="1"/>
      <c r="K50" s="1" t="s">
        <v>840</v>
      </c>
    </row>
    <row r="51" spans="1:11" x14ac:dyDescent="0.25">
      <c r="A51" s="18" t="str">
        <f xml:space="preserve">  MapNameLkup</f>
        <v>m_ofs_trex_ar_invoices</v>
      </c>
      <c r="B51" s="1" t="s">
        <v>853</v>
      </c>
      <c r="C51" s="1"/>
      <c r="D51" s="1" t="s">
        <v>863</v>
      </c>
      <c r="E51" s="1" t="s">
        <v>114</v>
      </c>
      <c r="F51" s="1"/>
      <c r="G51" s="1"/>
      <c r="H51" s="1"/>
      <c r="I51" s="1" t="s">
        <v>41</v>
      </c>
      <c r="J51" s="1"/>
      <c r="K51" s="1" t="s">
        <v>46</v>
      </c>
    </row>
    <row r="52" spans="1:11" x14ac:dyDescent="0.25">
      <c r="A52" s="18" t="str">
        <f xml:space="preserve">  MapNameLkup</f>
        <v>m_ofs_trex_ar_invoices</v>
      </c>
      <c r="B52" s="1" t="s">
        <v>853</v>
      </c>
      <c r="C52" s="1"/>
      <c r="D52" s="1" t="s">
        <v>863</v>
      </c>
      <c r="E52" s="1" t="s">
        <v>115</v>
      </c>
      <c r="F52" s="1"/>
      <c r="G52" s="1"/>
      <c r="H52" s="1"/>
      <c r="I52" s="1" t="s">
        <v>41</v>
      </c>
      <c r="J52" s="1"/>
      <c r="K52" s="1" t="s">
        <v>46</v>
      </c>
    </row>
    <row r="53" spans="1:11" x14ac:dyDescent="0.25">
      <c r="A53" s="18" t="str">
        <f xml:space="preserve">  MapNameLkup</f>
        <v>m_ofs_trex_ar_invoices</v>
      </c>
      <c r="B53" s="1" t="s">
        <v>853</v>
      </c>
      <c r="C53" s="1"/>
      <c r="D53" s="1" t="s">
        <v>863</v>
      </c>
      <c r="E53" s="1" t="s">
        <v>116</v>
      </c>
      <c r="F53" s="1"/>
      <c r="G53" s="1"/>
      <c r="H53" s="1"/>
      <c r="I53" s="1" t="s">
        <v>41</v>
      </c>
      <c r="J53" s="1"/>
      <c r="K53" s="1" t="s">
        <v>46</v>
      </c>
    </row>
    <row r="54" spans="1:11" x14ac:dyDescent="0.25">
      <c r="A54" s="18" t="str">
        <f xml:space="preserve">  MapNameLkup</f>
        <v>m_ofs_trex_ar_invoices</v>
      </c>
      <c r="B54" s="1" t="s">
        <v>853</v>
      </c>
      <c r="C54" s="1"/>
      <c r="D54" s="1" t="s">
        <v>863</v>
      </c>
      <c r="E54" s="1" t="s">
        <v>870</v>
      </c>
      <c r="F54" s="1"/>
      <c r="G54" s="1"/>
      <c r="H54" s="1"/>
      <c r="I54" s="1" t="s">
        <v>41</v>
      </c>
      <c r="J54" s="1"/>
      <c r="K54" s="1" t="s">
        <v>44</v>
      </c>
    </row>
    <row r="55" spans="1:11" x14ac:dyDescent="0.25">
      <c r="A55" s="18" t="str">
        <f xml:space="preserve">  MapNameLkup</f>
        <v>m_ofs_trex_ar_invoices</v>
      </c>
      <c r="B55" s="1" t="s">
        <v>853</v>
      </c>
      <c r="C55" s="1"/>
      <c r="D55" s="1" t="s">
        <v>863</v>
      </c>
      <c r="E55" s="1" t="s">
        <v>871</v>
      </c>
      <c r="F55" s="1"/>
      <c r="G55" s="1"/>
      <c r="H55" s="1"/>
      <c r="I55" s="1" t="s">
        <v>41</v>
      </c>
      <c r="J55" s="1"/>
      <c r="K55" s="1" t="s">
        <v>44</v>
      </c>
    </row>
    <row r="56" spans="1:11" x14ac:dyDescent="0.25">
      <c r="A56" s="18" t="str">
        <f xml:space="preserve">  MapNameLkup</f>
        <v>m_ofs_trex_ar_invoices</v>
      </c>
      <c r="B56" s="1" t="s">
        <v>853</v>
      </c>
      <c r="C56" s="1"/>
      <c r="D56" s="1" t="s">
        <v>863</v>
      </c>
      <c r="E56" s="1" t="s">
        <v>119</v>
      </c>
      <c r="F56" s="1"/>
      <c r="G56" s="1"/>
      <c r="H56" s="1"/>
      <c r="I56" s="1" t="s">
        <v>41</v>
      </c>
      <c r="J56" s="1"/>
      <c r="K56" s="1" t="s">
        <v>46</v>
      </c>
    </row>
    <row r="57" spans="1:11" x14ac:dyDescent="0.25">
      <c r="A57" s="18" t="str">
        <f xml:space="preserve">  MapNameLkup</f>
        <v>m_ofs_trex_ar_invoices</v>
      </c>
      <c r="B57" s="1" t="s">
        <v>853</v>
      </c>
      <c r="C57" s="1"/>
      <c r="D57" s="1" t="s">
        <v>863</v>
      </c>
      <c r="E57" s="1" t="s">
        <v>120</v>
      </c>
      <c r="F57" s="1"/>
      <c r="G57" s="1"/>
      <c r="H57" s="1"/>
      <c r="I57" s="1" t="s">
        <v>41</v>
      </c>
      <c r="J57" s="1"/>
      <c r="K57" s="1" t="s">
        <v>46</v>
      </c>
    </row>
    <row r="58" spans="1:11" x14ac:dyDescent="0.25">
      <c r="A58" s="18" t="str">
        <f xml:space="preserve">  MapNameLkup</f>
        <v>m_ofs_trex_ar_invoices</v>
      </c>
      <c r="B58" s="1" t="s">
        <v>853</v>
      </c>
      <c r="C58" s="1"/>
      <c r="D58" s="1" t="s">
        <v>863</v>
      </c>
      <c r="E58" s="1" t="s">
        <v>121</v>
      </c>
      <c r="F58" s="1"/>
      <c r="G58" s="1"/>
      <c r="H58" s="1"/>
      <c r="I58" s="1" t="s">
        <v>41</v>
      </c>
      <c r="J58" s="1"/>
      <c r="K58" s="1" t="s">
        <v>46</v>
      </c>
    </row>
    <row r="59" spans="1:11" x14ac:dyDescent="0.25">
      <c r="A59" s="18" t="str">
        <f xml:space="preserve">  MapNameLkup</f>
        <v>m_ofs_trex_ar_invoices</v>
      </c>
      <c r="B59" s="1" t="s">
        <v>853</v>
      </c>
      <c r="C59" s="1"/>
      <c r="D59" s="1" t="s">
        <v>863</v>
      </c>
      <c r="E59" s="1" t="s">
        <v>122</v>
      </c>
      <c r="F59" s="1"/>
      <c r="G59" s="1"/>
      <c r="H59" s="1"/>
      <c r="I59" s="1" t="s">
        <v>41</v>
      </c>
      <c r="J59" s="1"/>
      <c r="K59" s="1" t="s">
        <v>46</v>
      </c>
    </row>
    <row r="60" spans="1:11" x14ac:dyDescent="0.25">
      <c r="A60" s="18" t="str">
        <f xml:space="preserve">  MapNameLkup</f>
        <v>m_ofs_trex_ar_invoices</v>
      </c>
      <c r="B60" s="1" t="s">
        <v>853</v>
      </c>
      <c r="C60" s="1"/>
      <c r="D60" s="1" t="s">
        <v>863</v>
      </c>
      <c r="E60" s="1" t="s">
        <v>872</v>
      </c>
      <c r="F60" s="1"/>
      <c r="G60" s="1"/>
      <c r="H60" s="1"/>
      <c r="I60" s="1" t="s">
        <v>41</v>
      </c>
      <c r="J60" s="1"/>
      <c r="K60" s="1" t="s">
        <v>44</v>
      </c>
    </row>
    <row r="61" spans="1:11" x14ac:dyDescent="0.25">
      <c r="A61" s="18" t="str">
        <f xml:space="preserve">  MapNameLkup</f>
        <v>m_ofs_trex_ar_invoices</v>
      </c>
      <c r="B61" s="1" t="s">
        <v>853</v>
      </c>
      <c r="C61" s="1"/>
      <c r="D61" s="1" t="s">
        <v>863</v>
      </c>
      <c r="E61" s="1" t="s">
        <v>124</v>
      </c>
      <c r="F61" s="1"/>
      <c r="G61" s="1"/>
      <c r="H61" s="1"/>
      <c r="I61" s="1" t="s">
        <v>41</v>
      </c>
      <c r="J61" s="1"/>
      <c r="K61" s="1" t="s">
        <v>46</v>
      </c>
    </row>
    <row r="62" spans="1:11" x14ac:dyDescent="0.25">
      <c r="A62" s="18" t="str">
        <f xml:space="preserve">  MapNameLkup</f>
        <v>m_ofs_trex_ar_invoices</v>
      </c>
      <c r="B62" s="1" t="s">
        <v>853</v>
      </c>
      <c r="C62" s="1"/>
      <c r="D62" s="1" t="s">
        <v>863</v>
      </c>
      <c r="E62" s="1" t="s">
        <v>125</v>
      </c>
      <c r="F62" s="1"/>
      <c r="G62" s="1"/>
      <c r="H62" s="1"/>
      <c r="I62" s="1" t="s">
        <v>41</v>
      </c>
      <c r="J62" s="1"/>
      <c r="K62" s="1" t="s">
        <v>46</v>
      </c>
    </row>
    <row r="63" spans="1:11" x14ac:dyDescent="0.25">
      <c r="A63" s="18" t="str">
        <f xml:space="preserve">  MapNameLkup</f>
        <v>m_ofs_trex_ar_invoices</v>
      </c>
      <c r="B63" s="1" t="s">
        <v>853</v>
      </c>
      <c r="C63" s="1"/>
      <c r="D63" s="1" t="s">
        <v>863</v>
      </c>
      <c r="E63" s="1" t="s">
        <v>126</v>
      </c>
      <c r="F63" s="1"/>
      <c r="G63" s="1"/>
      <c r="H63" s="1"/>
      <c r="I63" s="1" t="s">
        <v>41</v>
      </c>
      <c r="J63" s="1"/>
      <c r="K63" s="1" t="s">
        <v>46</v>
      </c>
    </row>
    <row r="64" spans="1:11" x14ac:dyDescent="0.25">
      <c r="A64" s="18" t="str">
        <f xml:space="preserve">  MapNameLkup</f>
        <v>m_ofs_trex_ar_invoices</v>
      </c>
      <c r="B64" s="1" t="s">
        <v>853</v>
      </c>
      <c r="C64" s="1"/>
      <c r="D64" s="1" t="s">
        <v>863</v>
      </c>
      <c r="E64" s="1" t="s">
        <v>127</v>
      </c>
      <c r="F64" s="1"/>
      <c r="G64" s="1"/>
      <c r="H64" s="1"/>
      <c r="I64" s="1" t="s">
        <v>41</v>
      </c>
      <c r="J64" s="1"/>
      <c r="K64" s="1" t="s">
        <v>45</v>
      </c>
    </row>
    <row r="65" spans="1:11" x14ac:dyDescent="0.25">
      <c r="A65" s="18" t="str">
        <f xml:space="preserve">  MapNameLkup</f>
        <v>m_ofs_trex_ar_invoices</v>
      </c>
      <c r="B65" s="1" t="s">
        <v>853</v>
      </c>
      <c r="C65" s="1"/>
      <c r="D65" s="1" t="s">
        <v>863</v>
      </c>
      <c r="E65" s="1" t="s">
        <v>128</v>
      </c>
      <c r="F65" s="1"/>
      <c r="G65" s="1"/>
      <c r="H65" s="1"/>
      <c r="I65" s="1" t="s">
        <v>41</v>
      </c>
      <c r="J65" s="1"/>
      <c r="K65" s="1" t="s">
        <v>45</v>
      </c>
    </row>
    <row r="66" spans="1:11" x14ac:dyDescent="0.25">
      <c r="A66" s="18" t="str">
        <f xml:space="preserve">  MapNameLkup</f>
        <v>m_ofs_trex_ar_invoices</v>
      </c>
      <c r="B66" s="1" t="s">
        <v>853</v>
      </c>
      <c r="C66" s="1"/>
      <c r="D66" s="1" t="s">
        <v>863</v>
      </c>
      <c r="E66" s="1" t="s">
        <v>129</v>
      </c>
      <c r="F66" s="1"/>
      <c r="G66" s="1"/>
      <c r="H66" s="1"/>
      <c r="I66" s="1" t="s">
        <v>41</v>
      </c>
      <c r="J66" s="1"/>
      <c r="K66" s="1" t="s">
        <v>46</v>
      </c>
    </row>
    <row r="67" spans="1:11" x14ac:dyDescent="0.25">
      <c r="A67" s="18" t="str">
        <f xml:space="preserve">  MapNameLkup</f>
        <v>m_ofs_trex_ar_invoices</v>
      </c>
      <c r="B67" s="1" t="s">
        <v>853</v>
      </c>
      <c r="C67" s="1"/>
      <c r="D67" s="1" t="s">
        <v>863</v>
      </c>
      <c r="E67" s="1" t="s">
        <v>130</v>
      </c>
      <c r="F67" s="1"/>
      <c r="G67" s="1"/>
      <c r="H67" s="1"/>
      <c r="I67" s="1" t="s">
        <v>41</v>
      </c>
      <c r="J67" s="1"/>
      <c r="K67" s="1" t="s">
        <v>46</v>
      </c>
    </row>
    <row r="68" spans="1:11" x14ac:dyDescent="0.25">
      <c r="A68" s="18" t="str">
        <f xml:space="preserve">  MapNameLkup</f>
        <v>m_ofs_trex_ar_invoices</v>
      </c>
      <c r="B68" s="1" t="s">
        <v>853</v>
      </c>
      <c r="C68" s="1"/>
      <c r="D68" s="1" t="s">
        <v>863</v>
      </c>
      <c r="E68" s="1" t="s">
        <v>873</v>
      </c>
      <c r="F68" s="1"/>
      <c r="G68" s="1"/>
      <c r="H68" s="1"/>
      <c r="I68" s="1" t="s">
        <v>41</v>
      </c>
      <c r="J68" s="1"/>
      <c r="K68" s="1" t="s">
        <v>947</v>
      </c>
    </row>
    <row r="69" spans="1:11" x14ac:dyDescent="0.25">
      <c r="A69" s="18" t="str">
        <f xml:space="preserve">  MapNameLkup</f>
        <v>m_ofs_trex_ar_invoices</v>
      </c>
      <c r="B69" s="1" t="s">
        <v>853</v>
      </c>
      <c r="C69" s="1"/>
      <c r="D69" s="1" t="s">
        <v>863</v>
      </c>
      <c r="E69" s="1" t="s">
        <v>874</v>
      </c>
      <c r="F69" s="1"/>
      <c r="G69" s="1"/>
      <c r="H69" s="1"/>
      <c r="I69" s="1" t="s">
        <v>41</v>
      </c>
      <c r="J69" s="1"/>
      <c r="K69" s="1" t="s">
        <v>947</v>
      </c>
    </row>
    <row r="70" spans="1:11" x14ac:dyDescent="0.25">
      <c r="A70" s="18" t="str">
        <f xml:space="preserve">  MapNameLkup</f>
        <v>m_ofs_trex_ar_invoices</v>
      </c>
      <c r="B70" s="1" t="s">
        <v>853</v>
      </c>
      <c r="C70" s="1"/>
      <c r="D70" s="1" t="s">
        <v>863</v>
      </c>
      <c r="E70" s="1" t="s">
        <v>875</v>
      </c>
      <c r="F70" s="1"/>
      <c r="G70" s="1"/>
      <c r="H70" s="1"/>
      <c r="I70" s="1" t="s">
        <v>41</v>
      </c>
      <c r="J70" s="1"/>
      <c r="K70" s="1" t="s">
        <v>947</v>
      </c>
    </row>
    <row r="71" spans="1:11" x14ac:dyDescent="0.25">
      <c r="A71" s="18" t="str">
        <f xml:space="preserve">  MapNameLkup</f>
        <v>m_ofs_trex_ar_invoices</v>
      </c>
      <c r="B71" s="1" t="s">
        <v>853</v>
      </c>
      <c r="C71" s="1"/>
      <c r="D71" s="1" t="s">
        <v>863</v>
      </c>
      <c r="E71" s="1" t="s">
        <v>876</v>
      </c>
      <c r="F71" s="1"/>
      <c r="G71" s="1"/>
      <c r="H71" s="1"/>
      <c r="I71" s="1" t="s">
        <v>41</v>
      </c>
      <c r="J71" s="1"/>
      <c r="K71" s="1" t="s">
        <v>947</v>
      </c>
    </row>
    <row r="72" spans="1:11" x14ac:dyDescent="0.25">
      <c r="A72" s="18" t="str">
        <f xml:space="preserve">  MapNameLkup</f>
        <v>m_ofs_trex_ar_invoices</v>
      </c>
      <c r="B72" s="1" t="s">
        <v>853</v>
      </c>
      <c r="C72" s="1"/>
      <c r="D72" s="1" t="s">
        <v>863</v>
      </c>
      <c r="E72" s="1" t="s">
        <v>877</v>
      </c>
      <c r="F72" s="1"/>
      <c r="G72" s="1"/>
      <c r="H72" s="1"/>
      <c r="I72" s="1" t="s">
        <v>41</v>
      </c>
      <c r="J72" s="1"/>
      <c r="K72" s="1" t="s">
        <v>947</v>
      </c>
    </row>
    <row r="73" spans="1:11" x14ac:dyDescent="0.25">
      <c r="A73" s="18" t="str">
        <f xml:space="preserve">  MapNameLkup</f>
        <v>m_ofs_trex_ar_invoices</v>
      </c>
      <c r="B73" s="1" t="s">
        <v>853</v>
      </c>
      <c r="C73" s="1"/>
      <c r="D73" s="1" t="s">
        <v>863</v>
      </c>
      <c r="E73" s="1" t="s">
        <v>878</v>
      </c>
      <c r="F73" s="1"/>
      <c r="G73" s="1"/>
      <c r="H73" s="1"/>
      <c r="I73" s="1" t="s">
        <v>41</v>
      </c>
      <c r="J73" s="1"/>
      <c r="K73" s="1" t="s">
        <v>947</v>
      </c>
    </row>
    <row r="74" spans="1:11" x14ac:dyDescent="0.25">
      <c r="A74" s="18" t="str">
        <f xml:space="preserve">  MapNameLkup</f>
        <v>m_ofs_trex_ar_invoices</v>
      </c>
      <c r="B74" s="1" t="s">
        <v>853</v>
      </c>
      <c r="C74" s="1"/>
      <c r="D74" s="1" t="s">
        <v>863</v>
      </c>
      <c r="E74" s="1" t="s">
        <v>137</v>
      </c>
      <c r="F74" s="1"/>
      <c r="G74" s="1"/>
      <c r="H74" s="1"/>
      <c r="I74" s="1" t="s">
        <v>41</v>
      </c>
      <c r="J74" s="1"/>
      <c r="K74" s="1" t="s">
        <v>46</v>
      </c>
    </row>
    <row r="75" spans="1:11" x14ac:dyDescent="0.25">
      <c r="A75" s="18" t="str">
        <f xml:space="preserve">  MapNameLkup</f>
        <v>m_ofs_trex_ar_invoices</v>
      </c>
      <c r="B75" s="1" t="s">
        <v>853</v>
      </c>
      <c r="C75" s="1"/>
      <c r="D75" s="1" t="s">
        <v>863</v>
      </c>
      <c r="E75" s="1" t="s">
        <v>138</v>
      </c>
      <c r="F75" s="1"/>
      <c r="G75" s="1"/>
      <c r="H75" s="1"/>
      <c r="I75" s="1" t="s">
        <v>41</v>
      </c>
      <c r="J75" s="1"/>
      <c r="K75" s="1" t="s">
        <v>46</v>
      </c>
    </row>
    <row r="76" spans="1:11" x14ac:dyDescent="0.25">
      <c r="A76" s="18" t="str">
        <f xml:space="preserve">  MapNameLkup</f>
        <v>m_ofs_trex_ar_invoices</v>
      </c>
      <c r="B76" s="1" t="s">
        <v>853</v>
      </c>
      <c r="C76" s="1"/>
      <c r="D76" s="1" t="s">
        <v>863</v>
      </c>
      <c r="E76" s="1" t="s">
        <v>139</v>
      </c>
      <c r="F76" s="1"/>
      <c r="G76" s="1"/>
      <c r="H76" s="1"/>
      <c r="I76" s="1" t="s">
        <v>41</v>
      </c>
      <c r="J76" s="1"/>
      <c r="K76" s="1" t="s">
        <v>46</v>
      </c>
    </row>
    <row r="77" spans="1:11" x14ac:dyDescent="0.25">
      <c r="A77" s="18" t="str">
        <f xml:space="preserve">  MapNameLkup</f>
        <v>m_ofs_trex_ar_invoices</v>
      </c>
      <c r="B77" s="1" t="s">
        <v>853</v>
      </c>
      <c r="C77" s="1"/>
      <c r="D77" s="1" t="s">
        <v>863</v>
      </c>
      <c r="E77" s="1" t="s">
        <v>140</v>
      </c>
      <c r="F77" s="1"/>
      <c r="G77" s="1"/>
      <c r="H77" s="1"/>
      <c r="I77" s="1" t="s">
        <v>41</v>
      </c>
      <c r="J77" s="1"/>
      <c r="K77" s="1" t="s">
        <v>46</v>
      </c>
    </row>
    <row r="78" spans="1:11" x14ac:dyDescent="0.25">
      <c r="A78" s="18" t="str">
        <f xml:space="preserve">  MapNameLkup</f>
        <v>m_ofs_trex_ar_invoices</v>
      </c>
      <c r="B78" s="1" t="s">
        <v>853</v>
      </c>
      <c r="C78" s="1"/>
      <c r="D78" s="1" t="s">
        <v>863</v>
      </c>
      <c r="E78" s="1" t="s">
        <v>141</v>
      </c>
      <c r="F78" s="1"/>
      <c r="G78" s="1"/>
      <c r="H78" s="1"/>
      <c r="I78" s="1" t="s">
        <v>41</v>
      </c>
      <c r="J78" s="1"/>
      <c r="K78" s="1" t="s">
        <v>46</v>
      </c>
    </row>
    <row r="79" spans="1:11" x14ac:dyDescent="0.25">
      <c r="A79" s="18" t="str">
        <f xml:space="preserve">  MapNameLkup</f>
        <v>m_ofs_trex_ar_invoices</v>
      </c>
      <c r="B79" s="1" t="s">
        <v>853</v>
      </c>
      <c r="C79" s="1"/>
      <c r="D79" s="1" t="s">
        <v>863</v>
      </c>
      <c r="E79" s="1" t="s">
        <v>142</v>
      </c>
      <c r="F79" s="1"/>
      <c r="G79" s="1"/>
      <c r="H79" s="1"/>
      <c r="I79" s="1" t="s">
        <v>41</v>
      </c>
      <c r="J79" s="1"/>
      <c r="K79" s="1" t="s">
        <v>45</v>
      </c>
    </row>
    <row r="80" spans="1:11" x14ac:dyDescent="0.25">
      <c r="A80" s="18" t="str">
        <f xml:space="preserve">  MapNameLkup</f>
        <v>m_ofs_trex_ar_invoices</v>
      </c>
      <c r="B80" s="1" t="s">
        <v>853</v>
      </c>
      <c r="C80" s="1"/>
      <c r="D80" s="1" t="s">
        <v>863</v>
      </c>
      <c r="E80" s="1" t="s">
        <v>143</v>
      </c>
      <c r="F80" s="1"/>
      <c r="G80" s="1"/>
      <c r="H80" s="1"/>
      <c r="I80" s="1" t="s">
        <v>41</v>
      </c>
      <c r="J80" s="1"/>
      <c r="K80" s="1" t="s">
        <v>45</v>
      </c>
    </row>
    <row r="81" spans="1:11" x14ac:dyDescent="0.25">
      <c r="A81" s="18" t="str">
        <f xml:space="preserve">  MapNameLkup</f>
        <v>m_ofs_trex_ar_invoices</v>
      </c>
      <c r="B81" s="1" t="s">
        <v>853</v>
      </c>
      <c r="C81" s="1"/>
      <c r="D81" s="1" t="s">
        <v>863</v>
      </c>
      <c r="E81" s="1" t="s">
        <v>144</v>
      </c>
      <c r="F81" s="1"/>
      <c r="G81" s="1"/>
      <c r="H81" s="1"/>
      <c r="I81" s="1" t="s">
        <v>41</v>
      </c>
      <c r="J81" s="1"/>
      <c r="K81" s="1" t="s">
        <v>45</v>
      </c>
    </row>
    <row r="82" spans="1:11" x14ac:dyDescent="0.25">
      <c r="A82" s="18" t="str">
        <f xml:space="preserve">  MapNameLkup</f>
        <v>m_ofs_trex_ar_invoices</v>
      </c>
      <c r="B82" s="1" t="s">
        <v>853</v>
      </c>
      <c r="C82" s="1"/>
      <c r="D82" s="1" t="s">
        <v>863</v>
      </c>
      <c r="E82" s="1" t="s">
        <v>145</v>
      </c>
      <c r="F82" s="1"/>
      <c r="G82" s="1"/>
      <c r="H82" s="1"/>
      <c r="I82" s="1" t="s">
        <v>41</v>
      </c>
      <c r="J82" s="1"/>
      <c r="K82" s="1" t="s">
        <v>45</v>
      </c>
    </row>
    <row r="83" spans="1:11" x14ac:dyDescent="0.25">
      <c r="A83" s="18" t="str">
        <f xml:space="preserve">  MapNameLkup</f>
        <v>m_ofs_trex_ar_invoices</v>
      </c>
      <c r="B83" s="1" t="s">
        <v>853</v>
      </c>
      <c r="C83" s="1"/>
      <c r="D83" s="1" t="s">
        <v>863</v>
      </c>
      <c r="E83" s="1" t="s">
        <v>146</v>
      </c>
      <c r="F83" s="1"/>
      <c r="G83" s="1"/>
      <c r="H83" s="1"/>
      <c r="I83" s="1" t="s">
        <v>41</v>
      </c>
      <c r="J83" s="1"/>
      <c r="K83" s="1" t="s">
        <v>44</v>
      </c>
    </row>
    <row r="84" spans="1:11" x14ac:dyDescent="0.25">
      <c r="A84" s="18" t="str">
        <f xml:space="preserve">  MapNameLkup</f>
        <v>m_ofs_trex_ar_invoices</v>
      </c>
      <c r="B84" s="1" t="s">
        <v>853</v>
      </c>
      <c r="C84" s="1"/>
      <c r="D84" s="1" t="s">
        <v>863</v>
      </c>
      <c r="E84" s="1" t="s">
        <v>147</v>
      </c>
      <c r="F84" s="1"/>
      <c r="G84" s="1"/>
      <c r="H84" s="1"/>
      <c r="I84" s="1" t="s">
        <v>41</v>
      </c>
      <c r="J84" s="1"/>
      <c r="K84" s="1" t="s">
        <v>46</v>
      </c>
    </row>
    <row r="85" spans="1:11" x14ac:dyDescent="0.25">
      <c r="A85" s="18" t="str">
        <f xml:space="preserve">  MapNameLkup</f>
        <v>m_ofs_trex_ar_invoices</v>
      </c>
      <c r="B85" s="1" t="s">
        <v>853</v>
      </c>
      <c r="C85" s="1"/>
      <c r="D85" s="1" t="s">
        <v>863</v>
      </c>
      <c r="E85" s="1" t="s">
        <v>879</v>
      </c>
      <c r="F85" s="1"/>
      <c r="G85" s="1"/>
      <c r="H85" s="1"/>
      <c r="I85" s="1" t="s">
        <v>41</v>
      </c>
      <c r="J85" s="1"/>
      <c r="K85" s="1" t="s">
        <v>46</v>
      </c>
    </row>
    <row r="86" spans="1:11" x14ac:dyDescent="0.25">
      <c r="A86" s="18" t="str">
        <f xml:space="preserve">  MapNameLkup</f>
        <v>m_ofs_trex_ar_invoices</v>
      </c>
      <c r="B86" s="1" t="s">
        <v>853</v>
      </c>
      <c r="C86" s="1"/>
      <c r="D86" s="1" t="s">
        <v>863</v>
      </c>
      <c r="E86" s="1" t="s">
        <v>880</v>
      </c>
      <c r="F86" s="1"/>
      <c r="G86" s="1"/>
      <c r="H86" s="1"/>
      <c r="I86" s="1" t="s">
        <v>41</v>
      </c>
      <c r="J86" s="1"/>
      <c r="K86" s="1" t="s">
        <v>46</v>
      </c>
    </row>
    <row r="87" spans="1:11" x14ac:dyDescent="0.25">
      <c r="A87" s="18" t="str">
        <f xml:space="preserve">  MapNameLkup</f>
        <v>m_ofs_trex_ar_invoices</v>
      </c>
      <c r="B87" s="1" t="s">
        <v>853</v>
      </c>
      <c r="C87" s="1"/>
      <c r="D87" s="1" t="s">
        <v>863</v>
      </c>
      <c r="E87" s="1" t="s">
        <v>866</v>
      </c>
      <c r="F87" s="1"/>
      <c r="G87" s="1"/>
      <c r="H87" s="1"/>
      <c r="I87" s="1" t="s">
        <v>41</v>
      </c>
      <c r="J87" s="1"/>
      <c r="K87" s="1" t="s">
        <v>45</v>
      </c>
    </row>
    <row r="88" spans="1:11" x14ac:dyDescent="0.25">
      <c r="A88" s="18" t="str">
        <f xml:space="preserve">  MapNameLkup</f>
        <v>m_ofs_trex_ar_invoices</v>
      </c>
      <c r="B88" s="1" t="s">
        <v>853</v>
      </c>
      <c r="C88" s="1"/>
      <c r="D88" s="1" t="s">
        <v>863</v>
      </c>
      <c r="E88" s="1" t="s">
        <v>881</v>
      </c>
      <c r="F88" s="1"/>
      <c r="G88" s="1"/>
      <c r="H88" s="1"/>
      <c r="I88" s="1" t="s">
        <v>41</v>
      </c>
      <c r="J88" s="1"/>
      <c r="K88" s="1" t="s">
        <v>46</v>
      </c>
    </row>
    <row r="89" spans="1:11" x14ac:dyDescent="0.25">
      <c r="A89" s="18" t="str">
        <f xml:space="preserve">  MapNameLkup</f>
        <v>m_ofs_trex_ar_invoices</v>
      </c>
      <c r="B89" s="1" t="s">
        <v>854</v>
      </c>
      <c r="C89" s="1"/>
      <c r="D89" s="1" t="s">
        <v>66</v>
      </c>
      <c r="E89" s="1" t="s">
        <v>112</v>
      </c>
      <c r="F89" s="1"/>
      <c r="G89" s="1"/>
      <c r="H89" s="1"/>
      <c r="I89" s="1" t="s">
        <v>41</v>
      </c>
      <c r="J89" s="1"/>
      <c r="K89" s="1" t="s">
        <v>840</v>
      </c>
    </row>
    <row r="90" spans="1:11" x14ac:dyDescent="0.25">
      <c r="A90" s="18" t="str">
        <f xml:space="preserve">  MapNameLkup</f>
        <v>m_ofs_trex_ar_invoices</v>
      </c>
      <c r="B90" s="1" t="s">
        <v>854</v>
      </c>
      <c r="C90" s="1"/>
      <c r="D90" s="1" t="s">
        <v>66</v>
      </c>
      <c r="E90" s="1" t="s">
        <v>113</v>
      </c>
      <c r="F90" s="1"/>
      <c r="G90" s="1"/>
      <c r="H90" s="1"/>
      <c r="I90" s="1" t="s">
        <v>41</v>
      </c>
      <c r="J90" s="1"/>
      <c r="K90" s="1" t="s">
        <v>840</v>
      </c>
    </row>
    <row r="91" spans="1:11" x14ac:dyDescent="0.25">
      <c r="A91" s="18" t="str">
        <f xml:space="preserve">  MapNameLkup</f>
        <v>m_ofs_trex_ar_invoices</v>
      </c>
      <c r="B91" s="1" t="s">
        <v>854</v>
      </c>
      <c r="C91" s="1"/>
      <c r="D91" s="1" t="s">
        <v>66</v>
      </c>
      <c r="E91" s="1" t="s">
        <v>114</v>
      </c>
      <c r="F91" s="1"/>
      <c r="G91" s="1"/>
      <c r="H91" s="1"/>
      <c r="I91" s="1" t="s">
        <v>41</v>
      </c>
      <c r="J91" s="1"/>
      <c r="K91" s="1" t="s">
        <v>46</v>
      </c>
    </row>
    <row r="92" spans="1:11" x14ac:dyDescent="0.25">
      <c r="A92" s="18" t="str">
        <f xml:space="preserve">  MapNameLkup</f>
        <v>m_ofs_trex_ar_invoices</v>
      </c>
      <c r="B92" s="1" t="s">
        <v>854</v>
      </c>
      <c r="C92" s="1"/>
      <c r="D92" s="1" t="s">
        <v>66</v>
      </c>
      <c r="E92" s="1" t="s">
        <v>115</v>
      </c>
      <c r="F92" s="1"/>
      <c r="G92" s="1"/>
      <c r="H92" s="1"/>
      <c r="I92" s="1" t="s">
        <v>41</v>
      </c>
      <c r="J92" s="1"/>
      <c r="K92" s="1" t="s">
        <v>46</v>
      </c>
    </row>
    <row r="93" spans="1:11" x14ac:dyDescent="0.25">
      <c r="A93" s="18" t="str">
        <f xml:space="preserve">  MapNameLkup</f>
        <v>m_ofs_trex_ar_invoices</v>
      </c>
      <c r="B93" s="1" t="s">
        <v>854</v>
      </c>
      <c r="C93" s="1"/>
      <c r="D93" s="1" t="s">
        <v>66</v>
      </c>
      <c r="E93" s="1" t="s">
        <v>116</v>
      </c>
      <c r="F93" s="1"/>
      <c r="G93" s="1"/>
      <c r="H93" s="1"/>
      <c r="I93" s="1" t="s">
        <v>41</v>
      </c>
      <c r="J93" s="1"/>
      <c r="K93" s="1" t="s">
        <v>46</v>
      </c>
    </row>
    <row r="94" spans="1:11" x14ac:dyDescent="0.25">
      <c r="A94" s="18" t="str">
        <f xml:space="preserve">  MapNameLkup</f>
        <v>m_ofs_trex_ar_invoices</v>
      </c>
      <c r="B94" s="1" t="s">
        <v>854</v>
      </c>
      <c r="C94" s="1"/>
      <c r="D94" s="1" t="s">
        <v>66</v>
      </c>
      <c r="E94" s="1" t="s">
        <v>870</v>
      </c>
      <c r="F94" s="1"/>
      <c r="G94" s="1"/>
      <c r="H94" s="1"/>
      <c r="I94" s="1" t="s">
        <v>41</v>
      </c>
      <c r="J94" s="1"/>
      <c r="K94" s="1" t="s">
        <v>44</v>
      </c>
    </row>
    <row r="95" spans="1:11" x14ac:dyDescent="0.25">
      <c r="A95" s="18" t="str">
        <f xml:space="preserve">  MapNameLkup</f>
        <v>m_ofs_trex_ar_invoices</v>
      </c>
      <c r="B95" s="1" t="s">
        <v>854</v>
      </c>
      <c r="C95" s="1"/>
      <c r="D95" s="1" t="s">
        <v>66</v>
      </c>
      <c r="E95" s="1" t="s">
        <v>871</v>
      </c>
      <c r="F95" s="1"/>
      <c r="G95" s="1"/>
      <c r="H95" s="1"/>
      <c r="I95" s="1" t="s">
        <v>41</v>
      </c>
      <c r="J95" s="1"/>
      <c r="K95" s="1" t="s">
        <v>44</v>
      </c>
    </row>
    <row r="96" spans="1:11" x14ac:dyDescent="0.25">
      <c r="A96" s="18" t="str">
        <f xml:space="preserve">  MapNameLkup</f>
        <v>m_ofs_trex_ar_invoices</v>
      </c>
      <c r="B96" s="1" t="s">
        <v>854</v>
      </c>
      <c r="C96" s="1"/>
      <c r="D96" s="1" t="s">
        <v>66</v>
      </c>
      <c r="E96" s="1" t="s">
        <v>119</v>
      </c>
      <c r="F96" s="1"/>
      <c r="G96" s="1"/>
      <c r="H96" s="1"/>
      <c r="I96" s="1" t="s">
        <v>41</v>
      </c>
      <c r="J96" s="1"/>
      <c r="K96" s="1" t="s">
        <v>46</v>
      </c>
    </row>
    <row r="97" spans="1:11" x14ac:dyDescent="0.25">
      <c r="A97" s="18" t="str">
        <f xml:space="preserve">  MapNameLkup</f>
        <v>m_ofs_trex_ar_invoices</v>
      </c>
      <c r="B97" s="1" t="s">
        <v>854</v>
      </c>
      <c r="C97" s="1"/>
      <c r="D97" s="1" t="s">
        <v>66</v>
      </c>
      <c r="E97" s="1" t="s">
        <v>120</v>
      </c>
      <c r="F97" s="1"/>
      <c r="G97" s="1"/>
      <c r="H97" s="1"/>
      <c r="I97" s="1" t="s">
        <v>41</v>
      </c>
      <c r="J97" s="1"/>
      <c r="K97" s="1" t="s">
        <v>46</v>
      </c>
    </row>
    <row r="98" spans="1:11" x14ac:dyDescent="0.25">
      <c r="A98" s="18" t="str">
        <f xml:space="preserve">  MapNameLkup</f>
        <v>m_ofs_trex_ar_invoices</v>
      </c>
      <c r="B98" s="1" t="s">
        <v>854</v>
      </c>
      <c r="C98" s="1"/>
      <c r="D98" s="1" t="s">
        <v>66</v>
      </c>
      <c r="E98" s="1" t="s">
        <v>121</v>
      </c>
      <c r="F98" s="1"/>
      <c r="G98" s="1"/>
      <c r="H98" s="1"/>
      <c r="I98" s="1" t="s">
        <v>41</v>
      </c>
      <c r="J98" s="1"/>
      <c r="K98" s="1" t="s">
        <v>46</v>
      </c>
    </row>
    <row r="99" spans="1:11" x14ac:dyDescent="0.25">
      <c r="A99" s="18" t="str">
        <f xml:space="preserve">  MapNameLkup</f>
        <v>m_ofs_trex_ar_invoices</v>
      </c>
      <c r="B99" s="1" t="s">
        <v>854</v>
      </c>
      <c r="C99" s="1"/>
      <c r="D99" s="1" t="s">
        <v>66</v>
      </c>
      <c r="E99" s="1" t="s">
        <v>122</v>
      </c>
      <c r="F99" s="1"/>
      <c r="G99" s="1"/>
      <c r="H99" s="1"/>
      <c r="I99" s="1" t="s">
        <v>41</v>
      </c>
      <c r="J99" s="1"/>
      <c r="K99" s="1" t="s">
        <v>46</v>
      </c>
    </row>
    <row r="100" spans="1:11" x14ac:dyDescent="0.25">
      <c r="A100" s="18" t="str">
        <f xml:space="preserve">  MapNameLkup</f>
        <v>m_ofs_trex_ar_invoices</v>
      </c>
      <c r="B100" s="1" t="s">
        <v>854</v>
      </c>
      <c r="C100" s="1"/>
      <c r="D100" s="1" t="s">
        <v>66</v>
      </c>
      <c r="E100" s="1" t="s">
        <v>872</v>
      </c>
      <c r="F100" s="1"/>
      <c r="G100" s="1"/>
      <c r="H100" s="1"/>
      <c r="I100" s="1" t="s">
        <v>41</v>
      </c>
      <c r="J100" s="1"/>
      <c r="K100" s="1" t="s">
        <v>44</v>
      </c>
    </row>
    <row r="101" spans="1:11" x14ac:dyDescent="0.25">
      <c r="A101" s="18" t="str">
        <f xml:space="preserve">  MapNameLkup</f>
        <v>m_ofs_trex_ar_invoices</v>
      </c>
      <c r="B101" s="1" t="s">
        <v>854</v>
      </c>
      <c r="C101" s="1"/>
      <c r="D101" s="1" t="s">
        <v>66</v>
      </c>
      <c r="E101" s="1" t="s">
        <v>124</v>
      </c>
      <c r="F101" s="1"/>
      <c r="G101" s="1"/>
      <c r="H101" s="1"/>
      <c r="I101" s="1" t="s">
        <v>41</v>
      </c>
      <c r="J101" s="1"/>
      <c r="K101" s="1" t="s">
        <v>46</v>
      </c>
    </row>
    <row r="102" spans="1:11" x14ac:dyDescent="0.25">
      <c r="A102" s="18" t="str">
        <f xml:space="preserve">  MapNameLkup</f>
        <v>m_ofs_trex_ar_invoices</v>
      </c>
      <c r="B102" s="1" t="s">
        <v>854</v>
      </c>
      <c r="C102" s="1"/>
      <c r="D102" s="1" t="s">
        <v>66</v>
      </c>
      <c r="E102" s="1" t="s">
        <v>125</v>
      </c>
      <c r="F102" s="1"/>
      <c r="G102" s="1"/>
      <c r="H102" s="1"/>
      <c r="I102" s="1" t="s">
        <v>41</v>
      </c>
      <c r="J102" s="1"/>
      <c r="K102" s="1" t="s">
        <v>46</v>
      </c>
    </row>
    <row r="103" spans="1:11" x14ac:dyDescent="0.25">
      <c r="A103" s="18" t="str">
        <f xml:space="preserve">  MapNameLkup</f>
        <v>m_ofs_trex_ar_invoices</v>
      </c>
      <c r="B103" s="1" t="s">
        <v>854</v>
      </c>
      <c r="C103" s="1"/>
      <c r="D103" s="1" t="s">
        <v>66</v>
      </c>
      <c r="E103" s="1" t="s">
        <v>126</v>
      </c>
      <c r="F103" s="1"/>
      <c r="G103" s="1"/>
      <c r="H103" s="1"/>
      <c r="I103" s="1" t="s">
        <v>41</v>
      </c>
      <c r="J103" s="1"/>
      <c r="K103" s="1" t="s">
        <v>46</v>
      </c>
    </row>
    <row r="104" spans="1:11" x14ac:dyDescent="0.25">
      <c r="A104" s="18" t="str">
        <f xml:space="preserve">  MapNameLkup</f>
        <v>m_ofs_trex_ar_invoices</v>
      </c>
      <c r="B104" s="1" t="s">
        <v>854</v>
      </c>
      <c r="C104" s="1"/>
      <c r="D104" s="1" t="s">
        <v>66</v>
      </c>
      <c r="E104" s="1" t="s">
        <v>127</v>
      </c>
      <c r="F104" s="1"/>
      <c r="G104" s="1"/>
      <c r="H104" s="1"/>
      <c r="I104" s="1" t="s">
        <v>41</v>
      </c>
      <c r="J104" s="1"/>
      <c r="K104" s="1" t="s">
        <v>45</v>
      </c>
    </row>
    <row r="105" spans="1:11" x14ac:dyDescent="0.25">
      <c r="A105" s="18" t="str">
        <f xml:space="preserve">  MapNameLkup</f>
        <v>m_ofs_trex_ar_invoices</v>
      </c>
      <c r="B105" s="1" t="s">
        <v>854</v>
      </c>
      <c r="C105" s="1"/>
      <c r="D105" s="1" t="s">
        <v>66</v>
      </c>
      <c r="E105" s="1" t="s">
        <v>128</v>
      </c>
      <c r="F105" s="1"/>
      <c r="G105" s="1"/>
      <c r="H105" s="1"/>
      <c r="I105" s="1" t="s">
        <v>41</v>
      </c>
      <c r="J105" s="1"/>
      <c r="K105" s="1" t="s">
        <v>45</v>
      </c>
    </row>
    <row r="106" spans="1:11" x14ac:dyDescent="0.25">
      <c r="A106" s="18" t="str">
        <f xml:space="preserve">  MapNameLkup</f>
        <v>m_ofs_trex_ar_invoices</v>
      </c>
      <c r="B106" s="1" t="s">
        <v>854</v>
      </c>
      <c r="C106" s="1"/>
      <c r="D106" s="1" t="s">
        <v>66</v>
      </c>
      <c r="E106" s="1" t="s">
        <v>129</v>
      </c>
      <c r="F106" s="1"/>
      <c r="G106" s="1"/>
      <c r="H106" s="1"/>
      <c r="I106" s="1" t="s">
        <v>41</v>
      </c>
      <c r="J106" s="1"/>
      <c r="K106" s="1" t="s">
        <v>46</v>
      </c>
    </row>
    <row r="107" spans="1:11" x14ac:dyDescent="0.25">
      <c r="A107" s="18" t="str">
        <f xml:space="preserve">  MapNameLkup</f>
        <v>m_ofs_trex_ar_invoices</v>
      </c>
      <c r="B107" s="1" t="s">
        <v>854</v>
      </c>
      <c r="C107" s="1"/>
      <c r="D107" s="1" t="s">
        <v>66</v>
      </c>
      <c r="E107" s="1" t="s">
        <v>130</v>
      </c>
      <c r="F107" s="1"/>
      <c r="G107" s="1"/>
      <c r="H107" s="1"/>
      <c r="I107" s="1" t="s">
        <v>41</v>
      </c>
      <c r="J107" s="1"/>
      <c r="K107" s="1" t="s">
        <v>46</v>
      </c>
    </row>
    <row r="108" spans="1:11" x14ac:dyDescent="0.25">
      <c r="A108" s="18" t="str">
        <f xml:space="preserve">  MapNameLkup</f>
        <v>m_ofs_trex_ar_invoices</v>
      </c>
      <c r="B108" s="1" t="s">
        <v>854</v>
      </c>
      <c r="C108" s="1"/>
      <c r="D108" s="1" t="s">
        <v>66</v>
      </c>
      <c r="E108" s="1" t="s">
        <v>873</v>
      </c>
      <c r="F108" s="1"/>
      <c r="G108" s="1"/>
      <c r="H108" s="1"/>
      <c r="I108" s="1" t="s">
        <v>41</v>
      </c>
      <c r="J108" s="1"/>
      <c r="K108" s="1" t="s">
        <v>947</v>
      </c>
    </row>
    <row r="109" spans="1:11" x14ac:dyDescent="0.25">
      <c r="A109" s="18" t="str">
        <f xml:space="preserve">  MapNameLkup</f>
        <v>m_ofs_trex_ar_invoices</v>
      </c>
      <c r="B109" s="1" t="s">
        <v>854</v>
      </c>
      <c r="C109" s="1"/>
      <c r="D109" s="1" t="s">
        <v>66</v>
      </c>
      <c r="E109" s="1" t="s">
        <v>874</v>
      </c>
      <c r="F109" s="1"/>
      <c r="G109" s="1"/>
      <c r="H109" s="1"/>
      <c r="I109" s="1" t="s">
        <v>41</v>
      </c>
      <c r="J109" s="1"/>
      <c r="K109" s="1" t="s">
        <v>947</v>
      </c>
    </row>
    <row r="110" spans="1:11" x14ac:dyDescent="0.25">
      <c r="A110" s="18" t="str">
        <f xml:space="preserve">  MapNameLkup</f>
        <v>m_ofs_trex_ar_invoices</v>
      </c>
      <c r="B110" s="1" t="s">
        <v>854</v>
      </c>
      <c r="C110" s="1"/>
      <c r="D110" s="1" t="s">
        <v>66</v>
      </c>
      <c r="E110" s="1" t="s">
        <v>875</v>
      </c>
      <c r="F110" s="1"/>
      <c r="G110" s="1"/>
      <c r="H110" s="1"/>
      <c r="I110" s="1" t="s">
        <v>41</v>
      </c>
      <c r="J110" s="1"/>
      <c r="K110" s="1" t="s">
        <v>947</v>
      </c>
    </row>
    <row r="111" spans="1:11" x14ac:dyDescent="0.25">
      <c r="A111" s="18" t="str">
        <f xml:space="preserve">  MapNameLkup</f>
        <v>m_ofs_trex_ar_invoices</v>
      </c>
      <c r="B111" s="1" t="s">
        <v>854</v>
      </c>
      <c r="C111" s="1"/>
      <c r="D111" s="1" t="s">
        <v>66</v>
      </c>
      <c r="E111" s="1" t="s">
        <v>876</v>
      </c>
      <c r="F111" s="1"/>
      <c r="G111" s="1"/>
      <c r="H111" s="1"/>
      <c r="I111" s="1" t="s">
        <v>41</v>
      </c>
      <c r="J111" s="1"/>
      <c r="K111" s="1" t="s">
        <v>947</v>
      </c>
    </row>
    <row r="112" spans="1:11" x14ac:dyDescent="0.25">
      <c r="A112" s="18" t="str">
        <f xml:space="preserve">  MapNameLkup</f>
        <v>m_ofs_trex_ar_invoices</v>
      </c>
      <c r="B112" s="1" t="s">
        <v>854</v>
      </c>
      <c r="C112" s="1"/>
      <c r="D112" s="1" t="s">
        <v>66</v>
      </c>
      <c r="E112" s="1" t="s">
        <v>877</v>
      </c>
      <c r="F112" s="1"/>
      <c r="G112" s="1"/>
      <c r="H112" s="1"/>
      <c r="I112" s="1" t="s">
        <v>41</v>
      </c>
      <c r="J112" s="1"/>
      <c r="K112" s="1" t="s">
        <v>947</v>
      </c>
    </row>
    <row r="113" spans="1:11" x14ac:dyDescent="0.25">
      <c r="A113" s="18" t="str">
        <f xml:space="preserve">  MapNameLkup</f>
        <v>m_ofs_trex_ar_invoices</v>
      </c>
      <c r="B113" s="1" t="s">
        <v>854</v>
      </c>
      <c r="C113" s="1"/>
      <c r="D113" s="1" t="s">
        <v>66</v>
      </c>
      <c r="E113" s="1" t="s">
        <v>878</v>
      </c>
      <c r="F113" s="1"/>
      <c r="G113" s="1"/>
      <c r="H113" s="1"/>
      <c r="I113" s="1" t="s">
        <v>41</v>
      </c>
      <c r="J113" s="1"/>
      <c r="K113" s="1" t="s">
        <v>947</v>
      </c>
    </row>
    <row r="114" spans="1:11" x14ac:dyDescent="0.25">
      <c r="A114" s="18" t="str">
        <f xml:space="preserve">  MapNameLkup</f>
        <v>m_ofs_trex_ar_invoices</v>
      </c>
      <c r="B114" s="1" t="s">
        <v>854</v>
      </c>
      <c r="C114" s="1"/>
      <c r="D114" s="1" t="s">
        <v>66</v>
      </c>
      <c r="E114" s="1" t="s">
        <v>137</v>
      </c>
      <c r="F114" s="1"/>
      <c r="G114" s="1"/>
      <c r="H114" s="1"/>
      <c r="I114" s="1" t="s">
        <v>41</v>
      </c>
      <c r="J114" s="1"/>
      <c r="K114" s="1" t="s">
        <v>46</v>
      </c>
    </row>
    <row r="115" spans="1:11" x14ac:dyDescent="0.25">
      <c r="A115" s="18" t="str">
        <f xml:space="preserve">  MapNameLkup</f>
        <v>m_ofs_trex_ar_invoices</v>
      </c>
      <c r="B115" s="1" t="s">
        <v>854</v>
      </c>
      <c r="C115" s="1"/>
      <c r="D115" s="1" t="s">
        <v>66</v>
      </c>
      <c r="E115" s="1" t="s">
        <v>138</v>
      </c>
      <c r="F115" s="1"/>
      <c r="G115" s="1"/>
      <c r="H115" s="1"/>
      <c r="I115" s="1" t="s">
        <v>41</v>
      </c>
      <c r="J115" s="1"/>
      <c r="K115" s="1" t="s">
        <v>46</v>
      </c>
    </row>
    <row r="116" spans="1:11" x14ac:dyDescent="0.25">
      <c r="A116" s="18" t="str">
        <f xml:space="preserve">  MapNameLkup</f>
        <v>m_ofs_trex_ar_invoices</v>
      </c>
      <c r="B116" s="1" t="s">
        <v>854</v>
      </c>
      <c r="C116" s="1"/>
      <c r="D116" s="1" t="s">
        <v>66</v>
      </c>
      <c r="E116" s="1" t="s">
        <v>139</v>
      </c>
      <c r="F116" s="1"/>
      <c r="G116" s="1"/>
      <c r="H116" s="1"/>
      <c r="I116" s="1" t="s">
        <v>41</v>
      </c>
      <c r="J116" s="1"/>
      <c r="K116" s="1" t="s">
        <v>46</v>
      </c>
    </row>
    <row r="117" spans="1:11" x14ac:dyDescent="0.25">
      <c r="A117" s="18" t="str">
        <f xml:space="preserve">  MapNameLkup</f>
        <v>m_ofs_trex_ar_invoices</v>
      </c>
      <c r="B117" s="1" t="s">
        <v>854</v>
      </c>
      <c r="C117" s="1"/>
      <c r="D117" s="1" t="s">
        <v>66</v>
      </c>
      <c r="E117" s="1" t="s">
        <v>140</v>
      </c>
      <c r="F117" s="1"/>
      <c r="G117" s="1"/>
      <c r="H117" s="1"/>
      <c r="I117" s="1" t="s">
        <v>41</v>
      </c>
      <c r="J117" s="1"/>
      <c r="K117" s="1" t="s">
        <v>46</v>
      </c>
    </row>
    <row r="118" spans="1:11" x14ac:dyDescent="0.25">
      <c r="A118" s="18" t="str">
        <f xml:space="preserve">  MapNameLkup</f>
        <v>m_ofs_trex_ar_invoices</v>
      </c>
      <c r="B118" s="1" t="s">
        <v>854</v>
      </c>
      <c r="C118" s="1"/>
      <c r="D118" s="1" t="s">
        <v>66</v>
      </c>
      <c r="E118" s="1" t="s">
        <v>141</v>
      </c>
      <c r="F118" s="1"/>
      <c r="G118" s="1"/>
      <c r="H118" s="1"/>
      <c r="I118" s="1" t="s">
        <v>41</v>
      </c>
      <c r="J118" s="1"/>
      <c r="K118" s="1" t="s">
        <v>46</v>
      </c>
    </row>
    <row r="119" spans="1:11" x14ac:dyDescent="0.25">
      <c r="A119" s="18" t="str">
        <f xml:space="preserve">  MapNameLkup</f>
        <v>m_ofs_trex_ar_invoices</v>
      </c>
      <c r="B119" s="1" t="s">
        <v>854</v>
      </c>
      <c r="C119" s="1"/>
      <c r="D119" s="1" t="s">
        <v>66</v>
      </c>
      <c r="E119" s="1" t="s">
        <v>142</v>
      </c>
      <c r="F119" s="1"/>
      <c r="G119" s="1"/>
      <c r="H119" s="1"/>
      <c r="I119" s="1" t="s">
        <v>41</v>
      </c>
      <c r="J119" s="1"/>
      <c r="K119" s="1" t="s">
        <v>45</v>
      </c>
    </row>
    <row r="120" spans="1:11" x14ac:dyDescent="0.25">
      <c r="A120" s="18" t="str">
        <f xml:space="preserve">  MapNameLkup</f>
        <v>m_ofs_trex_ar_invoices</v>
      </c>
      <c r="B120" s="1" t="s">
        <v>854</v>
      </c>
      <c r="C120" s="1"/>
      <c r="D120" s="1" t="s">
        <v>66</v>
      </c>
      <c r="E120" s="1" t="s">
        <v>143</v>
      </c>
      <c r="F120" s="1"/>
      <c r="G120" s="1"/>
      <c r="H120" s="1"/>
      <c r="I120" s="1" t="s">
        <v>41</v>
      </c>
      <c r="J120" s="1"/>
      <c r="K120" s="1" t="s">
        <v>45</v>
      </c>
    </row>
    <row r="121" spans="1:11" x14ac:dyDescent="0.25">
      <c r="A121" s="18" t="str">
        <f xml:space="preserve">  MapNameLkup</f>
        <v>m_ofs_trex_ar_invoices</v>
      </c>
      <c r="B121" s="1" t="s">
        <v>854</v>
      </c>
      <c r="C121" s="1"/>
      <c r="D121" s="1" t="s">
        <v>66</v>
      </c>
      <c r="E121" s="1" t="s">
        <v>144</v>
      </c>
      <c r="F121" s="1"/>
      <c r="G121" s="1"/>
      <c r="H121" s="1"/>
      <c r="I121" s="1" t="s">
        <v>41</v>
      </c>
      <c r="J121" s="1"/>
      <c r="K121" s="1" t="s">
        <v>45</v>
      </c>
    </row>
    <row r="122" spans="1:11" x14ac:dyDescent="0.25">
      <c r="A122" s="18" t="str">
        <f xml:space="preserve">  MapNameLkup</f>
        <v>m_ofs_trex_ar_invoices</v>
      </c>
      <c r="B122" s="1" t="s">
        <v>854</v>
      </c>
      <c r="C122" s="1"/>
      <c r="D122" s="1" t="s">
        <v>66</v>
      </c>
      <c r="E122" s="1" t="s">
        <v>145</v>
      </c>
      <c r="F122" s="1"/>
      <c r="G122" s="1"/>
      <c r="H122" s="1"/>
      <c r="I122" s="1" t="s">
        <v>41</v>
      </c>
      <c r="J122" s="1"/>
      <c r="K122" s="1" t="s">
        <v>45</v>
      </c>
    </row>
    <row r="123" spans="1:11" x14ac:dyDescent="0.25">
      <c r="A123" s="18" t="str">
        <f xml:space="preserve">  MapNameLkup</f>
        <v>m_ofs_trex_ar_invoices</v>
      </c>
      <c r="B123" s="1" t="s">
        <v>854</v>
      </c>
      <c r="C123" s="1"/>
      <c r="D123" s="1" t="s">
        <v>66</v>
      </c>
      <c r="E123" s="1" t="s">
        <v>146</v>
      </c>
      <c r="F123" s="1"/>
      <c r="G123" s="1"/>
      <c r="H123" s="1"/>
      <c r="I123" s="1" t="s">
        <v>41</v>
      </c>
      <c r="J123" s="1"/>
      <c r="K123" s="1" t="s">
        <v>44</v>
      </c>
    </row>
    <row r="124" spans="1:11" x14ac:dyDescent="0.25">
      <c r="A124" s="18" t="str">
        <f xml:space="preserve">  MapNameLkup</f>
        <v>m_ofs_trex_ar_invoices</v>
      </c>
      <c r="B124" s="1" t="s">
        <v>854</v>
      </c>
      <c r="C124" s="1"/>
      <c r="D124" s="1" t="s">
        <v>66</v>
      </c>
      <c r="E124" s="1" t="s">
        <v>147</v>
      </c>
      <c r="F124" s="1"/>
      <c r="G124" s="1"/>
      <c r="H124" s="1"/>
      <c r="I124" s="1" t="s">
        <v>41</v>
      </c>
      <c r="J124" s="1"/>
      <c r="K124" s="1" t="s">
        <v>46</v>
      </c>
    </row>
    <row r="125" spans="1:11" x14ac:dyDescent="0.25">
      <c r="A125" s="18" t="str">
        <f xml:space="preserve">  MapNameLkup</f>
        <v>m_ofs_trex_ar_invoices</v>
      </c>
      <c r="B125" s="1" t="s">
        <v>854</v>
      </c>
      <c r="C125" s="1"/>
      <c r="D125" s="1" t="s">
        <v>66</v>
      </c>
      <c r="E125" s="1" t="s">
        <v>879</v>
      </c>
      <c r="F125" s="1"/>
      <c r="G125" s="1"/>
      <c r="H125" s="1"/>
      <c r="I125" s="1" t="s">
        <v>41</v>
      </c>
      <c r="J125" s="1"/>
      <c r="K125" s="1" t="s">
        <v>46</v>
      </c>
    </row>
    <row r="126" spans="1:11" x14ac:dyDescent="0.25">
      <c r="A126" s="18" t="str">
        <f xml:space="preserve">  MapNameLkup</f>
        <v>m_ofs_trex_ar_invoices</v>
      </c>
      <c r="B126" s="1" t="s">
        <v>854</v>
      </c>
      <c r="C126" s="1"/>
      <c r="D126" s="1" t="s">
        <v>66</v>
      </c>
      <c r="E126" s="1" t="s">
        <v>880</v>
      </c>
      <c r="F126" s="1"/>
      <c r="G126" s="1"/>
      <c r="H126" s="1"/>
      <c r="I126" s="1" t="s">
        <v>41</v>
      </c>
      <c r="J126" s="1"/>
      <c r="K126" s="1" t="s">
        <v>46</v>
      </c>
    </row>
    <row r="127" spans="1:11" x14ac:dyDescent="0.25">
      <c r="A127" s="18" t="str">
        <f xml:space="preserve">  MapNameLkup</f>
        <v>m_ofs_trex_ar_invoices</v>
      </c>
      <c r="B127" s="1" t="s">
        <v>854</v>
      </c>
      <c r="C127" s="1"/>
      <c r="D127" s="1" t="s">
        <v>66</v>
      </c>
      <c r="E127" s="1" t="s">
        <v>866</v>
      </c>
      <c r="F127" s="1"/>
      <c r="G127" s="1"/>
      <c r="H127" s="1"/>
      <c r="I127" s="1" t="s">
        <v>41</v>
      </c>
      <c r="J127" s="1"/>
      <c r="K127" s="1" t="s">
        <v>45</v>
      </c>
    </row>
    <row r="128" spans="1:11" x14ac:dyDescent="0.25">
      <c r="A128" s="18" t="str">
        <f xml:space="preserve">  MapNameLkup</f>
        <v>m_ofs_trex_ar_invoices</v>
      </c>
      <c r="B128" s="1" t="s">
        <v>855</v>
      </c>
      <c r="C128" s="1"/>
      <c r="D128" s="1" t="s">
        <v>67</v>
      </c>
      <c r="E128" s="1" t="s">
        <v>112</v>
      </c>
      <c r="F128" s="1"/>
      <c r="G128" s="1"/>
      <c r="H128" s="1"/>
      <c r="I128" s="1" t="s">
        <v>68</v>
      </c>
      <c r="J128" s="1"/>
      <c r="K128" s="1" t="s">
        <v>840</v>
      </c>
    </row>
    <row r="129" spans="1:11" x14ac:dyDescent="0.25">
      <c r="A129" s="18" t="str">
        <f xml:space="preserve">  MapNameLkup</f>
        <v>m_ofs_trex_ar_invoices</v>
      </c>
      <c r="B129" s="1" t="s">
        <v>855</v>
      </c>
      <c r="C129" s="1"/>
      <c r="D129" s="1" t="s">
        <v>67</v>
      </c>
      <c r="E129" s="1" t="s">
        <v>113</v>
      </c>
      <c r="F129" s="1"/>
      <c r="G129" s="1"/>
      <c r="H129" s="1"/>
      <c r="I129" s="1" t="s">
        <v>68</v>
      </c>
      <c r="J129" s="1"/>
      <c r="K129" s="1" t="s">
        <v>840</v>
      </c>
    </row>
    <row r="130" spans="1:11" x14ac:dyDescent="0.25">
      <c r="A130" s="18" t="str">
        <f xml:space="preserve">  MapNameLkup</f>
        <v>m_ofs_trex_ar_invoices</v>
      </c>
      <c r="B130" s="1" t="s">
        <v>855</v>
      </c>
      <c r="C130" s="1"/>
      <c r="D130" s="1" t="s">
        <v>67</v>
      </c>
      <c r="E130" s="1" t="s">
        <v>114</v>
      </c>
      <c r="F130" s="1"/>
      <c r="G130" s="1"/>
      <c r="H130" s="1"/>
      <c r="I130" s="1" t="s">
        <v>68</v>
      </c>
      <c r="J130" s="1"/>
      <c r="K130" s="1" t="s">
        <v>46</v>
      </c>
    </row>
    <row r="131" spans="1:11" x14ac:dyDescent="0.25">
      <c r="A131" s="18" t="str">
        <f xml:space="preserve">  MapNameLkup</f>
        <v>m_ofs_trex_ar_invoices</v>
      </c>
      <c r="B131" s="1" t="s">
        <v>855</v>
      </c>
      <c r="C131" s="1"/>
      <c r="D131" s="1" t="s">
        <v>67</v>
      </c>
      <c r="E131" s="1" t="s">
        <v>115</v>
      </c>
      <c r="F131" s="1"/>
      <c r="G131" s="1"/>
      <c r="H131" s="1"/>
      <c r="I131" s="1" t="s">
        <v>68</v>
      </c>
      <c r="J131" s="1"/>
      <c r="K131" s="1" t="s">
        <v>46</v>
      </c>
    </row>
    <row r="132" spans="1:11" x14ac:dyDescent="0.25">
      <c r="A132" s="18" t="str">
        <f xml:space="preserve">  MapNameLkup</f>
        <v>m_ofs_trex_ar_invoices</v>
      </c>
      <c r="B132" s="1" t="s">
        <v>855</v>
      </c>
      <c r="C132" s="1"/>
      <c r="D132" s="1" t="s">
        <v>67</v>
      </c>
      <c r="E132" s="1" t="s">
        <v>116</v>
      </c>
      <c r="F132" s="1"/>
      <c r="G132" s="1"/>
      <c r="H132" s="1"/>
      <c r="I132" s="1" t="s">
        <v>68</v>
      </c>
      <c r="J132" s="1"/>
      <c r="K132" s="1" t="s">
        <v>46</v>
      </c>
    </row>
    <row r="133" spans="1:11" x14ac:dyDescent="0.25">
      <c r="A133" s="18" t="str">
        <f xml:space="preserve">  MapNameLkup</f>
        <v>m_ofs_trex_ar_invoices</v>
      </c>
      <c r="B133" s="1" t="s">
        <v>855</v>
      </c>
      <c r="C133" s="1"/>
      <c r="D133" s="1" t="s">
        <v>67</v>
      </c>
      <c r="E133" s="1" t="s">
        <v>117</v>
      </c>
      <c r="F133" s="1"/>
      <c r="G133" s="1"/>
      <c r="H133" s="1"/>
      <c r="I133" s="1" t="s">
        <v>68</v>
      </c>
      <c r="J133" s="1"/>
      <c r="K133" s="1" t="s">
        <v>44</v>
      </c>
    </row>
    <row r="134" spans="1:11" x14ac:dyDescent="0.25">
      <c r="A134" s="18" t="str">
        <f xml:space="preserve">  MapNameLkup</f>
        <v>m_ofs_trex_ar_invoices</v>
      </c>
      <c r="B134" s="1" t="s">
        <v>855</v>
      </c>
      <c r="C134" s="1"/>
      <c r="D134" s="1" t="s">
        <v>67</v>
      </c>
      <c r="E134" s="1" t="s">
        <v>118</v>
      </c>
      <c r="F134" s="1"/>
      <c r="G134" s="1"/>
      <c r="H134" s="1"/>
      <c r="I134" s="1" t="s">
        <v>68</v>
      </c>
      <c r="J134" s="1"/>
      <c r="K134" s="1" t="s">
        <v>44</v>
      </c>
    </row>
    <row r="135" spans="1:11" x14ac:dyDescent="0.25">
      <c r="A135" s="18" t="str">
        <f xml:space="preserve">  MapNameLkup</f>
        <v>m_ofs_trex_ar_invoices</v>
      </c>
      <c r="B135" s="1" t="s">
        <v>855</v>
      </c>
      <c r="C135" s="1"/>
      <c r="D135" s="1" t="s">
        <v>67</v>
      </c>
      <c r="E135" s="1" t="s">
        <v>119</v>
      </c>
      <c r="F135" s="1"/>
      <c r="G135" s="1"/>
      <c r="H135" s="1"/>
      <c r="I135" s="1" t="s">
        <v>68</v>
      </c>
      <c r="J135" s="1"/>
      <c r="K135" s="1" t="s">
        <v>46</v>
      </c>
    </row>
    <row r="136" spans="1:11" x14ac:dyDescent="0.25">
      <c r="A136" s="18" t="str">
        <f xml:space="preserve">  MapNameLkup</f>
        <v>m_ofs_trex_ar_invoices</v>
      </c>
      <c r="B136" s="1" t="s">
        <v>855</v>
      </c>
      <c r="C136" s="1"/>
      <c r="D136" s="1" t="s">
        <v>67</v>
      </c>
      <c r="E136" s="1" t="s">
        <v>120</v>
      </c>
      <c r="F136" s="1"/>
      <c r="G136" s="1"/>
      <c r="H136" s="1"/>
      <c r="I136" s="1" t="s">
        <v>68</v>
      </c>
      <c r="J136" s="1"/>
      <c r="K136" s="1" t="s">
        <v>46</v>
      </c>
    </row>
    <row r="137" spans="1:11" x14ac:dyDescent="0.25">
      <c r="A137" s="18" t="str">
        <f xml:space="preserve">  MapNameLkup</f>
        <v>m_ofs_trex_ar_invoices</v>
      </c>
      <c r="B137" s="1" t="s">
        <v>855</v>
      </c>
      <c r="C137" s="1"/>
      <c r="D137" s="1" t="s">
        <v>67</v>
      </c>
      <c r="E137" s="1" t="s">
        <v>121</v>
      </c>
      <c r="F137" s="1"/>
      <c r="G137" s="1"/>
      <c r="H137" s="1"/>
      <c r="I137" s="1" t="s">
        <v>68</v>
      </c>
      <c r="J137" s="1"/>
      <c r="K137" s="1" t="s">
        <v>46</v>
      </c>
    </row>
    <row r="138" spans="1:11" x14ac:dyDescent="0.25">
      <c r="A138" s="18" t="str">
        <f xml:space="preserve">  MapNameLkup</f>
        <v>m_ofs_trex_ar_invoices</v>
      </c>
      <c r="B138" s="1" t="s">
        <v>855</v>
      </c>
      <c r="C138" s="1"/>
      <c r="D138" s="1" t="s">
        <v>67</v>
      </c>
      <c r="E138" s="1" t="s">
        <v>122</v>
      </c>
      <c r="F138" s="1"/>
      <c r="G138" s="1"/>
      <c r="H138" s="1"/>
      <c r="I138" s="1" t="s">
        <v>68</v>
      </c>
      <c r="J138" s="1"/>
      <c r="K138" s="1" t="s">
        <v>46</v>
      </c>
    </row>
    <row r="139" spans="1:11" x14ac:dyDescent="0.25">
      <c r="A139" s="18" t="str">
        <f xml:space="preserve">  MapNameLkup</f>
        <v>m_ofs_trex_ar_invoices</v>
      </c>
      <c r="B139" s="1" t="s">
        <v>855</v>
      </c>
      <c r="C139" s="1"/>
      <c r="D139" s="1" t="s">
        <v>67</v>
      </c>
      <c r="E139" s="1" t="s">
        <v>123</v>
      </c>
      <c r="F139" s="1"/>
      <c r="G139" s="1"/>
      <c r="H139" s="1"/>
      <c r="I139" s="1" t="s">
        <v>68</v>
      </c>
      <c r="J139" s="1"/>
      <c r="K139" s="1" t="s">
        <v>44</v>
      </c>
    </row>
    <row r="140" spans="1:11" x14ac:dyDescent="0.25">
      <c r="A140" s="18" t="str">
        <f xml:space="preserve">  MapNameLkup</f>
        <v>m_ofs_trex_ar_invoices</v>
      </c>
      <c r="B140" s="1" t="s">
        <v>855</v>
      </c>
      <c r="C140" s="1"/>
      <c r="D140" s="1" t="s">
        <v>67</v>
      </c>
      <c r="E140" s="1" t="s">
        <v>882</v>
      </c>
      <c r="F140" s="1"/>
      <c r="G140" s="1"/>
      <c r="H140" s="1"/>
      <c r="I140" s="1" t="s">
        <v>41</v>
      </c>
      <c r="J140" s="1"/>
      <c r="K140" s="1" t="s">
        <v>44</v>
      </c>
    </row>
    <row r="141" spans="1:11" x14ac:dyDescent="0.25">
      <c r="A141" s="18" t="str">
        <f xml:space="preserve">  MapNameLkup</f>
        <v>m_ofs_trex_ar_invoices</v>
      </c>
      <c r="B141" s="1" t="s">
        <v>855</v>
      </c>
      <c r="C141" s="1"/>
      <c r="D141" s="1" t="s">
        <v>67</v>
      </c>
      <c r="E141" s="1" t="s">
        <v>124</v>
      </c>
      <c r="F141" s="1"/>
      <c r="G141" s="1"/>
      <c r="H141" s="1"/>
      <c r="I141" s="1" t="s">
        <v>68</v>
      </c>
      <c r="J141" s="1"/>
      <c r="K141" s="1" t="s">
        <v>46</v>
      </c>
    </row>
    <row r="142" spans="1:11" x14ac:dyDescent="0.25">
      <c r="A142" s="18" t="str">
        <f xml:space="preserve">  MapNameLkup</f>
        <v>m_ofs_trex_ar_invoices</v>
      </c>
      <c r="B142" s="1" t="s">
        <v>855</v>
      </c>
      <c r="C142" s="1"/>
      <c r="D142" s="1" t="s">
        <v>67</v>
      </c>
      <c r="E142" s="1" t="s">
        <v>125</v>
      </c>
      <c r="F142" s="1"/>
      <c r="G142" s="1"/>
      <c r="H142" s="1"/>
      <c r="I142" s="1" t="s">
        <v>68</v>
      </c>
      <c r="J142" s="1"/>
      <c r="K142" s="1" t="s">
        <v>46</v>
      </c>
    </row>
    <row r="143" spans="1:11" x14ac:dyDescent="0.25">
      <c r="A143" s="18" t="str">
        <f xml:space="preserve">  MapNameLkup</f>
        <v>m_ofs_trex_ar_invoices</v>
      </c>
      <c r="B143" s="1" t="s">
        <v>855</v>
      </c>
      <c r="C143" s="1"/>
      <c r="D143" s="1" t="s">
        <v>67</v>
      </c>
      <c r="E143" s="1" t="s">
        <v>126</v>
      </c>
      <c r="F143" s="1"/>
      <c r="G143" s="1"/>
      <c r="H143" s="1"/>
      <c r="I143" s="1" t="s">
        <v>68</v>
      </c>
      <c r="J143" s="1"/>
      <c r="K143" s="1" t="s">
        <v>46</v>
      </c>
    </row>
    <row r="144" spans="1:11" x14ac:dyDescent="0.25">
      <c r="A144" s="18" t="str">
        <f xml:space="preserve">  MapNameLkup</f>
        <v>m_ofs_trex_ar_invoices</v>
      </c>
      <c r="B144" s="1" t="s">
        <v>855</v>
      </c>
      <c r="C144" s="1"/>
      <c r="D144" s="1" t="s">
        <v>67</v>
      </c>
      <c r="E144" s="1" t="s">
        <v>127</v>
      </c>
      <c r="F144" s="1"/>
      <c r="G144" s="1"/>
      <c r="H144" s="1"/>
      <c r="I144" s="1" t="s">
        <v>68</v>
      </c>
      <c r="J144" s="1"/>
      <c r="K144" s="1" t="s">
        <v>45</v>
      </c>
    </row>
    <row r="145" spans="1:11" x14ac:dyDescent="0.25">
      <c r="A145" s="18" t="str">
        <f xml:space="preserve">  MapNameLkup</f>
        <v>m_ofs_trex_ar_invoices</v>
      </c>
      <c r="B145" s="1" t="s">
        <v>855</v>
      </c>
      <c r="C145" s="1"/>
      <c r="D145" s="1" t="s">
        <v>67</v>
      </c>
      <c r="E145" s="1" t="s">
        <v>128</v>
      </c>
      <c r="F145" s="1"/>
      <c r="G145" s="1"/>
      <c r="H145" s="1"/>
      <c r="I145" s="1" t="s">
        <v>68</v>
      </c>
      <c r="J145" s="1"/>
      <c r="K145" s="1" t="s">
        <v>45</v>
      </c>
    </row>
    <row r="146" spans="1:11" x14ac:dyDescent="0.25">
      <c r="A146" s="18" t="str">
        <f xml:space="preserve">  MapNameLkup</f>
        <v>m_ofs_trex_ar_invoices</v>
      </c>
      <c r="B146" s="1" t="s">
        <v>855</v>
      </c>
      <c r="C146" s="1"/>
      <c r="D146" s="1" t="s">
        <v>67</v>
      </c>
      <c r="E146" s="1" t="s">
        <v>129</v>
      </c>
      <c r="F146" s="1"/>
      <c r="G146" s="1"/>
      <c r="H146" s="1"/>
      <c r="I146" s="1" t="s">
        <v>68</v>
      </c>
      <c r="J146" s="1"/>
      <c r="K146" s="1" t="s">
        <v>46</v>
      </c>
    </row>
    <row r="147" spans="1:11" x14ac:dyDescent="0.25">
      <c r="A147" s="18" t="str">
        <f xml:space="preserve">  MapNameLkup</f>
        <v>m_ofs_trex_ar_invoices</v>
      </c>
      <c r="B147" s="1" t="s">
        <v>855</v>
      </c>
      <c r="C147" s="1"/>
      <c r="D147" s="1" t="s">
        <v>67</v>
      </c>
      <c r="E147" s="1" t="s">
        <v>130</v>
      </c>
      <c r="F147" s="1"/>
      <c r="G147" s="1"/>
      <c r="H147" s="1"/>
      <c r="I147" s="1" t="s">
        <v>68</v>
      </c>
      <c r="J147" s="1"/>
      <c r="K147" s="1" t="s">
        <v>46</v>
      </c>
    </row>
    <row r="148" spans="1:11" x14ac:dyDescent="0.25">
      <c r="A148" s="18" t="str">
        <f xml:space="preserve">  MapNameLkup</f>
        <v>m_ofs_trex_ar_invoices</v>
      </c>
      <c r="B148" s="1" t="s">
        <v>855</v>
      </c>
      <c r="C148" s="1"/>
      <c r="D148" s="1" t="s">
        <v>67</v>
      </c>
      <c r="E148" s="1" t="s">
        <v>131</v>
      </c>
      <c r="F148" s="1"/>
      <c r="G148" s="1"/>
      <c r="H148" s="1"/>
      <c r="I148" s="1" t="s">
        <v>68</v>
      </c>
      <c r="J148" s="1"/>
      <c r="K148" s="1" t="s">
        <v>947</v>
      </c>
    </row>
    <row r="149" spans="1:11" x14ac:dyDescent="0.25">
      <c r="A149" s="18" t="str">
        <f xml:space="preserve">  MapNameLkup</f>
        <v>m_ofs_trex_ar_invoices</v>
      </c>
      <c r="B149" s="1" t="s">
        <v>855</v>
      </c>
      <c r="C149" s="1"/>
      <c r="D149" s="1" t="s">
        <v>67</v>
      </c>
      <c r="E149" s="1" t="s">
        <v>132</v>
      </c>
      <c r="F149" s="1"/>
      <c r="G149" s="1"/>
      <c r="H149" s="1"/>
      <c r="I149" s="1" t="s">
        <v>68</v>
      </c>
      <c r="J149" s="1"/>
      <c r="K149" s="1" t="s">
        <v>947</v>
      </c>
    </row>
    <row r="150" spans="1:11" x14ac:dyDescent="0.25">
      <c r="A150" s="18" t="str">
        <f xml:space="preserve">  MapNameLkup</f>
        <v>m_ofs_trex_ar_invoices</v>
      </c>
      <c r="B150" s="1" t="s">
        <v>855</v>
      </c>
      <c r="C150" s="1"/>
      <c r="D150" s="1" t="s">
        <v>67</v>
      </c>
      <c r="E150" s="1" t="s">
        <v>133</v>
      </c>
      <c r="F150" s="1"/>
      <c r="G150" s="1"/>
      <c r="H150" s="1"/>
      <c r="I150" s="1" t="s">
        <v>68</v>
      </c>
      <c r="J150" s="1"/>
      <c r="K150" s="1" t="s">
        <v>947</v>
      </c>
    </row>
    <row r="151" spans="1:11" x14ac:dyDescent="0.25">
      <c r="A151" s="18" t="str">
        <f xml:space="preserve">  MapNameLkup</f>
        <v>m_ofs_trex_ar_invoices</v>
      </c>
      <c r="B151" s="1" t="s">
        <v>855</v>
      </c>
      <c r="C151" s="1"/>
      <c r="D151" s="1" t="s">
        <v>67</v>
      </c>
      <c r="E151" s="1" t="s">
        <v>134</v>
      </c>
      <c r="F151" s="1"/>
      <c r="G151" s="1"/>
      <c r="H151" s="1"/>
      <c r="I151" s="1" t="s">
        <v>68</v>
      </c>
      <c r="J151" s="1"/>
      <c r="K151" s="1" t="s">
        <v>947</v>
      </c>
    </row>
    <row r="152" spans="1:11" x14ac:dyDescent="0.25">
      <c r="A152" s="18" t="str">
        <f xml:space="preserve">  MapNameLkup</f>
        <v>m_ofs_trex_ar_invoices</v>
      </c>
      <c r="B152" s="1" t="s">
        <v>855</v>
      </c>
      <c r="C152" s="1"/>
      <c r="D152" s="1" t="s">
        <v>67</v>
      </c>
      <c r="E152" s="1" t="s">
        <v>135</v>
      </c>
      <c r="F152" s="1"/>
      <c r="G152" s="1"/>
      <c r="H152" s="1"/>
      <c r="I152" s="1" t="s">
        <v>68</v>
      </c>
      <c r="J152" s="1"/>
      <c r="K152" s="1" t="s">
        <v>947</v>
      </c>
    </row>
    <row r="153" spans="1:11" x14ac:dyDescent="0.25">
      <c r="A153" s="18" t="str">
        <f xml:space="preserve">  MapNameLkup</f>
        <v>m_ofs_trex_ar_invoices</v>
      </c>
      <c r="B153" s="1" t="s">
        <v>855</v>
      </c>
      <c r="C153" s="1"/>
      <c r="D153" s="1" t="s">
        <v>67</v>
      </c>
      <c r="E153" s="1" t="s">
        <v>136</v>
      </c>
      <c r="F153" s="1"/>
      <c r="G153" s="1"/>
      <c r="H153" s="1"/>
      <c r="I153" s="1" t="s">
        <v>68</v>
      </c>
      <c r="J153" s="1"/>
      <c r="K153" s="1" t="s">
        <v>947</v>
      </c>
    </row>
    <row r="154" spans="1:11" x14ac:dyDescent="0.25">
      <c r="A154" s="18" t="str">
        <f xml:space="preserve">  MapNameLkup</f>
        <v>m_ofs_trex_ar_invoices</v>
      </c>
      <c r="B154" s="1" t="s">
        <v>855</v>
      </c>
      <c r="C154" s="1"/>
      <c r="D154" s="1" t="s">
        <v>67</v>
      </c>
      <c r="E154" s="1" t="s">
        <v>137</v>
      </c>
      <c r="F154" s="1"/>
      <c r="G154" s="1"/>
      <c r="H154" s="1"/>
      <c r="I154" s="1" t="s">
        <v>68</v>
      </c>
      <c r="J154" s="1"/>
      <c r="K154" s="1" t="s">
        <v>46</v>
      </c>
    </row>
    <row r="155" spans="1:11" x14ac:dyDescent="0.25">
      <c r="A155" s="18" t="str">
        <f xml:space="preserve">  MapNameLkup</f>
        <v>m_ofs_trex_ar_invoices</v>
      </c>
      <c r="B155" s="1" t="s">
        <v>855</v>
      </c>
      <c r="C155" s="1"/>
      <c r="D155" s="1" t="s">
        <v>67</v>
      </c>
      <c r="E155" s="1" t="s">
        <v>138</v>
      </c>
      <c r="F155" s="1"/>
      <c r="G155" s="1"/>
      <c r="H155" s="1"/>
      <c r="I155" s="1" t="s">
        <v>68</v>
      </c>
      <c r="J155" s="1"/>
      <c r="K155" s="1" t="s">
        <v>46</v>
      </c>
    </row>
    <row r="156" spans="1:11" x14ac:dyDescent="0.25">
      <c r="A156" s="18" t="str">
        <f xml:space="preserve">  MapNameLkup</f>
        <v>m_ofs_trex_ar_invoices</v>
      </c>
      <c r="B156" s="1" t="s">
        <v>855</v>
      </c>
      <c r="C156" s="1"/>
      <c r="D156" s="1" t="s">
        <v>67</v>
      </c>
      <c r="E156" s="1" t="s">
        <v>139</v>
      </c>
      <c r="F156" s="1"/>
      <c r="G156" s="1"/>
      <c r="H156" s="1"/>
      <c r="I156" s="1" t="s">
        <v>68</v>
      </c>
      <c r="J156" s="1"/>
      <c r="K156" s="1" t="s">
        <v>46</v>
      </c>
    </row>
    <row r="157" spans="1:11" x14ac:dyDescent="0.25">
      <c r="A157" s="18" t="str">
        <f xml:space="preserve">  MapNameLkup</f>
        <v>m_ofs_trex_ar_invoices</v>
      </c>
      <c r="B157" s="1" t="s">
        <v>855</v>
      </c>
      <c r="C157" s="1"/>
      <c r="D157" s="1" t="s">
        <v>67</v>
      </c>
      <c r="E157" s="1" t="s">
        <v>140</v>
      </c>
      <c r="F157" s="1"/>
      <c r="G157" s="1"/>
      <c r="H157" s="1"/>
      <c r="I157" s="1" t="s">
        <v>68</v>
      </c>
      <c r="J157" s="1"/>
      <c r="K157" s="1" t="s">
        <v>46</v>
      </c>
    </row>
    <row r="158" spans="1:11" x14ac:dyDescent="0.25">
      <c r="A158" s="18" t="str">
        <f xml:space="preserve">  MapNameLkup</f>
        <v>m_ofs_trex_ar_invoices</v>
      </c>
      <c r="B158" s="1" t="s">
        <v>855</v>
      </c>
      <c r="C158" s="1"/>
      <c r="D158" s="1" t="s">
        <v>67</v>
      </c>
      <c r="E158" s="1" t="s">
        <v>141</v>
      </c>
      <c r="F158" s="1"/>
      <c r="G158" s="1"/>
      <c r="H158" s="1"/>
      <c r="I158" s="1" t="s">
        <v>68</v>
      </c>
      <c r="J158" s="1"/>
      <c r="K158" s="1" t="s">
        <v>46</v>
      </c>
    </row>
    <row r="159" spans="1:11" x14ac:dyDescent="0.25">
      <c r="A159" s="18" t="str">
        <f xml:space="preserve">  MapNameLkup</f>
        <v>m_ofs_trex_ar_invoices</v>
      </c>
      <c r="B159" s="1" t="s">
        <v>855</v>
      </c>
      <c r="C159" s="1"/>
      <c r="D159" s="1" t="s">
        <v>67</v>
      </c>
      <c r="E159" s="1" t="s">
        <v>142</v>
      </c>
      <c r="F159" s="1"/>
      <c r="G159" s="1"/>
      <c r="H159" s="1"/>
      <c r="I159" s="1" t="s">
        <v>68</v>
      </c>
      <c r="J159" s="1"/>
      <c r="K159" s="1" t="s">
        <v>45</v>
      </c>
    </row>
    <row r="160" spans="1:11" x14ac:dyDescent="0.25">
      <c r="A160" s="18" t="str">
        <f xml:space="preserve">  MapNameLkup</f>
        <v>m_ofs_trex_ar_invoices</v>
      </c>
      <c r="B160" s="1" t="s">
        <v>855</v>
      </c>
      <c r="C160" s="1"/>
      <c r="D160" s="1" t="s">
        <v>67</v>
      </c>
      <c r="E160" s="1" t="s">
        <v>143</v>
      </c>
      <c r="F160" s="1"/>
      <c r="G160" s="1"/>
      <c r="H160" s="1"/>
      <c r="I160" s="1" t="s">
        <v>68</v>
      </c>
      <c r="J160" s="1"/>
      <c r="K160" s="1" t="s">
        <v>45</v>
      </c>
    </row>
    <row r="161" spans="1:11" x14ac:dyDescent="0.25">
      <c r="A161" s="18" t="str">
        <f xml:space="preserve">  MapNameLkup</f>
        <v>m_ofs_trex_ar_invoices</v>
      </c>
      <c r="B161" s="1" t="s">
        <v>855</v>
      </c>
      <c r="C161" s="1"/>
      <c r="D161" s="1" t="s">
        <v>67</v>
      </c>
      <c r="E161" s="1" t="s">
        <v>144</v>
      </c>
      <c r="F161" s="1"/>
      <c r="G161" s="1"/>
      <c r="H161" s="1"/>
      <c r="I161" s="1" t="s">
        <v>68</v>
      </c>
      <c r="J161" s="1"/>
      <c r="K161" s="1" t="s">
        <v>45</v>
      </c>
    </row>
    <row r="162" spans="1:11" x14ac:dyDescent="0.25">
      <c r="A162" s="18" t="str">
        <f xml:space="preserve">  MapNameLkup</f>
        <v>m_ofs_trex_ar_invoices</v>
      </c>
      <c r="B162" s="1" t="s">
        <v>855</v>
      </c>
      <c r="C162" s="1"/>
      <c r="D162" s="1" t="s">
        <v>67</v>
      </c>
      <c r="E162" s="1" t="s">
        <v>145</v>
      </c>
      <c r="F162" s="1"/>
      <c r="G162" s="1"/>
      <c r="H162" s="1"/>
      <c r="I162" s="1" t="s">
        <v>68</v>
      </c>
      <c r="J162" s="1"/>
      <c r="K162" s="1" t="s">
        <v>45</v>
      </c>
    </row>
    <row r="163" spans="1:11" x14ac:dyDescent="0.25">
      <c r="A163" s="18" t="str">
        <f xml:space="preserve">  MapNameLkup</f>
        <v>m_ofs_trex_ar_invoices</v>
      </c>
      <c r="B163" s="1" t="s">
        <v>855</v>
      </c>
      <c r="C163" s="1"/>
      <c r="D163" s="1" t="s">
        <v>67</v>
      </c>
      <c r="E163" s="1" t="s">
        <v>146</v>
      </c>
      <c r="F163" s="1"/>
      <c r="G163" s="1"/>
      <c r="H163" s="1"/>
      <c r="I163" s="1" t="s">
        <v>68</v>
      </c>
      <c r="J163" s="1"/>
      <c r="K163" s="1" t="s">
        <v>44</v>
      </c>
    </row>
    <row r="164" spans="1:11" x14ac:dyDescent="0.25">
      <c r="A164" s="18" t="str">
        <f xml:space="preserve">  MapNameLkup</f>
        <v>m_ofs_trex_ar_invoices</v>
      </c>
      <c r="B164" s="1" t="s">
        <v>855</v>
      </c>
      <c r="C164" s="1"/>
      <c r="D164" s="1" t="s">
        <v>67</v>
      </c>
      <c r="E164" s="1" t="s">
        <v>147</v>
      </c>
      <c r="F164" s="1"/>
      <c r="G164" s="1"/>
      <c r="H164" s="1"/>
      <c r="I164" s="1" t="s">
        <v>68</v>
      </c>
      <c r="J164" s="1"/>
      <c r="K164" s="1" t="s">
        <v>46</v>
      </c>
    </row>
    <row r="165" spans="1:11" x14ac:dyDescent="0.25">
      <c r="A165" s="18" t="str">
        <f xml:space="preserve">  MapNameLkup</f>
        <v>m_ofs_trex_ar_invoices</v>
      </c>
      <c r="B165" s="1" t="s">
        <v>855</v>
      </c>
      <c r="C165" s="1"/>
      <c r="D165" s="1" t="s">
        <v>67</v>
      </c>
      <c r="E165" s="1" t="s">
        <v>148</v>
      </c>
      <c r="F165" s="1"/>
      <c r="G165" s="1"/>
      <c r="H165" s="1"/>
      <c r="I165" s="1" t="s">
        <v>68</v>
      </c>
      <c r="J165" s="1"/>
      <c r="K165" s="1" t="s">
        <v>46</v>
      </c>
    </row>
    <row r="166" spans="1:11" x14ac:dyDescent="0.25">
      <c r="A166" s="18" t="str">
        <f xml:space="preserve">  MapNameLkup</f>
        <v>m_ofs_trex_ar_invoices</v>
      </c>
      <c r="B166" s="1" t="s">
        <v>855</v>
      </c>
      <c r="C166" s="1"/>
      <c r="D166" s="1" t="s">
        <v>67</v>
      </c>
      <c r="E166" s="1" t="s">
        <v>149</v>
      </c>
      <c r="F166" s="1"/>
      <c r="G166" s="1"/>
      <c r="H166" s="1"/>
      <c r="I166" s="1" t="s">
        <v>68</v>
      </c>
      <c r="J166" s="1"/>
      <c r="K166" s="1" t="s">
        <v>46</v>
      </c>
    </row>
    <row r="167" spans="1:11" x14ac:dyDescent="0.25">
      <c r="A167" s="18" t="str">
        <f xml:space="preserve">  MapNameLkup</f>
        <v>m_ofs_trex_ar_invoices</v>
      </c>
      <c r="B167" s="1" t="s">
        <v>855</v>
      </c>
      <c r="C167" s="1"/>
      <c r="D167" s="1" t="s">
        <v>67</v>
      </c>
      <c r="E167" s="1" t="s">
        <v>150</v>
      </c>
      <c r="F167" s="1"/>
      <c r="G167" s="1"/>
      <c r="H167" s="1"/>
      <c r="I167" s="1" t="s">
        <v>68</v>
      </c>
      <c r="J167" s="1"/>
      <c r="K167" s="1" t="s">
        <v>45</v>
      </c>
    </row>
    <row r="168" spans="1:11" x14ac:dyDescent="0.25">
      <c r="A168" s="18" t="str">
        <f xml:space="preserve">  MapNameLkup</f>
        <v>m_ofs_trex_ar_invoices</v>
      </c>
      <c r="B168" s="1" t="s">
        <v>855</v>
      </c>
      <c r="C168" s="1"/>
      <c r="D168" s="1" t="s">
        <v>67</v>
      </c>
      <c r="E168" s="1" t="s">
        <v>151</v>
      </c>
      <c r="F168" s="1"/>
      <c r="G168" s="1"/>
      <c r="H168" s="1"/>
      <c r="I168" s="1" t="s">
        <v>68</v>
      </c>
      <c r="J168" s="1"/>
      <c r="K168" s="1" t="s">
        <v>46</v>
      </c>
    </row>
    <row r="169" spans="1:11" x14ac:dyDescent="0.25">
      <c r="A169" s="18" t="str">
        <f xml:space="preserve">  MapNameLkup</f>
        <v>m_ofs_trex_ar_invoices</v>
      </c>
      <c r="B169" s="1" t="s">
        <v>855</v>
      </c>
      <c r="C169" s="1"/>
      <c r="D169" s="1" t="s">
        <v>67</v>
      </c>
      <c r="E169" s="1" t="s">
        <v>152</v>
      </c>
      <c r="F169" s="1"/>
      <c r="G169" s="1"/>
      <c r="H169" s="1"/>
      <c r="I169" s="1" t="s">
        <v>68</v>
      </c>
      <c r="J169" s="1"/>
      <c r="K169" s="1" t="s">
        <v>45</v>
      </c>
    </row>
    <row r="170" spans="1:11" x14ac:dyDescent="0.25">
      <c r="A170" s="18" t="str">
        <f xml:space="preserve">  MapNameLkup</f>
        <v>m_ofs_trex_ar_invoices</v>
      </c>
      <c r="B170" s="1" t="s">
        <v>856</v>
      </c>
      <c r="C170" s="1"/>
      <c r="D170" s="1" t="s">
        <v>66</v>
      </c>
      <c r="E170" s="1" t="s">
        <v>830</v>
      </c>
      <c r="F170" s="1"/>
      <c r="G170" s="1"/>
      <c r="H170" s="1"/>
      <c r="I170" s="1" t="s">
        <v>41</v>
      </c>
      <c r="J170" s="1"/>
      <c r="K170" s="1" t="s">
        <v>46</v>
      </c>
    </row>
    <row r="171" spans="1:11" x14ac:dyDescent="0.25">
      <c r="A171" s="18" t="str">
        <f xml:space="preserve">  MapNameLkup</f>
        <v>m_ofs_trex_ar_invoices</v>
      </c>
      <c r="B171" s="1" t="s">
        <v>856</v>
      </c>
      <c r="C171" s="1"/>
      <c r="D171" s="1" t="s">
        <v>66</v>
      </c>
      <c r="E171" s="1" t="s">
        <v>123</v>
      </c>
      <c r="F171" s="1"/>
      <c r="G171" s="1"/>
      <c r="H171" s="1"/>
      <c r="I171" s="1" t="s">
        <v>41</v>
      </c>
      <c r="J171" s="1"/>
      <c r="K171" s="1" t="s">
        <v>947</v>
      </c>
    </row>
    <row r="172" spans="1:11" x14ac:dyDescent="0.25">
      <c r="A172" s="18" t="str">
        <f xml:space="preserve">  MapNameLkup</f>
        <v>m_ofs_trex_ar_invoices</v>
      </c>
      <c r="B172" s="1" t="s">
        <v>856</v>
      </c>
      <c r="C172" s="1"/>
      <c r="D172" s="1" t="s">
        <v>66</v>
      </c>
      <c r="E172" s="1" t="s">
        <v>865</v>
      </c>
      <c r="F172" s="1"/>
      <c r="G172" s="1"/>
      <c r="H172" s="1"/>
      <c r="I172" s="1" t="s">
        <v>41</v>
      </c>
      <c r="J172" s="1"/>
      <c r="K172" s="1" t="s">
        <v>46</v>
      </c>
    </row>
    <row r="173" spans="1:11" x14ac:dyDescent="0.25">
      <c r="A173" s="18" t="str">
        <f xml:space="preserve">  MapNameLkup</f>
        <v>m_ofs_trex_ar_invoices</v>
      </c>
      <c r="B173" s="1" t="s">
        <v>856</v>
      </c>
      <c r="C173" s="1"/>
      <c r="D173" s="1" t="s">
        <v>66</v>
      </c>
      <c r="E173" s="1" t="s">
        <v>866</v>
      </c>
      <c r="F173" s="1"/>
      <c r="G173" s="1"/>
      <c r="H173" s="1"/>
      <c r="I173" s="1" t="s">
        <v>41</v>
      </c>
      <c r="J173" s="1"/>
      <c r="K173" s="1" t="s">
        <v>45</v>
      </c>
    </row>
    <row r="174" spans="1:11" x14ac:dyDescent="0.25">
      <c r="A174" s="18" t="str">
        <f xml:space="preserve">  MapNameLkup</f>
        <v>m_ofs_trex_ar_invoices</v>
      </c>
      <c r="B174" s="1" t="s">
        <v>857</v>
      </c>
      <c r="C174" s="1"/>
      <c r="D174" s="1" t="s">
        <v>6</v>
      </c>
      <c r="E174" s="1" t="s">
        <v>113</v>
      </c>
      <c r="F174" s="1"/>
      <c r="G174" s="1" t="s">
        <v>113</v>
      </c>
      <c r="H174" s="1" t="s">
        <v>8</v>
      </c>
      <c r="I174" s="1" t="s">
        <v>41</v>
      </c>
      <c r="J174" s="1"/>
      <c r="K174" s="1" t="s">
        <v>840</v>
      </c>
    </row>
    <row r="175" spans="1:11" x14ac:dyDescent="0.25">
      <c r="A175" s="18" t="str">
        <f xml:space="preserve">  MapNameLkup</f>
        <v>m_ofs_trex_ar_invoices</v>
      </c>
      <c r="B175" s="1" t="s">
        <v>857</v>
      </c>
      <c r="C175" s="1"/>
      <c r="D175" s="1" t="s">
        <v>6</v>
      </c>
      <c r="E175" s="1" t="s">
        <v>114</v>
      </c>
      <c r="F175" s="1"/>
      <c r="G175" s="1" t="s">
        <v>114</v>
      </c>
      <c r="H175" s="1" t="s">
        <v>8</v>
      </c>
      <c r="I175" s="1" t="s">
        <v>41</v>
      </c>
      <c r="J175" s="1"/>
      <c r="K175" s="1" t="s">
        <v>46</v>
      </c>
    </row>
    <row r="176" spans="1:11" x14ac:dyDescent="0.25">
      <c r="A176" s="18" t="str">
        <f xml:space="preserve">  MapNameLkup</f>
        <v>m_ofs_trex_ar_invoices</v>
      </c>
      <c r="B176" s="1" t="s">
        <v>857</v>
      </c>
      <c r="C176" s="1"/>
      <c r="D176" s="1" t="s">
        <v>6</v>
      </c>
      <c r="E176" s="1" t="s">
        <v>115</v>
      </c>
      <c r="F176" s="1"/>
      <c r="G176" s="1" t="s">
        <v>115</v>
      </c>
      <c r="H176" s="1" t="s">
        <v>8</v>
      </c>
      <c r="I176" s="1" t="s">
        <v>41</v>
      </c>
      <c r="J176" s="1"/>
      <c r="K176" s="1" t="s">
        <v>46</v>
      </c>
    </row>
    <row r="177" spans="1:11" x14ac:dyDescent="0.25">
      <c r="A177" s="18" t="str">
        <f xml:space="preserve">  MapNameLkup</f>
        <v>m_ofs_trex_ar_invoices</v>
      </c>
      <c r="B177" s="1" t="s">
        <v>857</v>
      </c>
      <c r="C177" s="1"/>
      <c r="D177" s="1" t="s">
        <v>6</v>
      </c>
      <c r="E177" s="1" t="s">
        <v>116</v>
      </c>
      <c r="F177" s="1"/>
      <c r="G177" s="1" t="s">
        <v>116</v>
      </c>
      <c r="H177" s="1" t="s">
        <v>8</v>
      </c>
      <c r="I177" s="1" t="s">
        <v>41</v>
      </c>
      <c r="J177" s="1"/>
      <c r="K177" s="1" t="s">
        <v>46</v>
      </c>
    </row>
    <row r="178" spans="1:11" x14ac:dyDescent="0.25">
      <c r="A178" s="18" t="str">
        <f xml:space="preserve">  MapNameLkup</f>
        <v>m_ofs_trex_ar_invoices</v>
      </c>
      <c r="B178" s="1" t="s">
        <v>857</v>
      </c>
      <c r="C178" s="1"/>
      <c r="D178" s="1" t="s">
        <v>6</v>
      </c>
      <c r="E178" s="1" t="s">
        <v>870</v>
      </c>
      <c r="F178" s="1"/>
      <c r="G178" s="1" t="s">
        <v>870</v>
      </c>
      <c r="H178" s="1" t="s">
        <v>8</v>
      </c>
      <c r="I178" s="1" t="s">
        <v>41</v>
      </c>
      <c r="J178" s="1"/>
      <c r="K178" s="1" t="s">
        <v>44</v>
      </c>
    </row>
    <row r="179" spans="1:11" x14ac:dyDescent="0.25">
      <c r="A179" s="18" t="str">
        <f xml:space="preserve">  MapNameLkup</f>
        <v>m_ofs_trex_ar_invoices</v>
      </c>
      <c r="B179" s="1" t="s">
        <v>857</v>
      </c>
      <c r="C179" s="1"/>
      <c r="D179" s="1" t="s">
        <v>6</v>
      </c>
      <c r="E179" s="1" t="s">
        <v>871</v>
      </c>
      <c r="F179" s="1"/>
      <c r="G179" s="1" t="s">
        <v>871</v>
      </c>
      <c r="H179" s="1" t="s">
        <v>8</v>
      </c>
      <c r="I179" s="1" t="s">
        <v>41</v>
      </c>
      <c r="J179" s="1"/>
      <c r="K179" s="1" t="s">
        <v>44</v>
      </c>
    </row>
    <row r="180" spans="1:11" x14ac:dyDescent="0.25">
      <c r="A180" s="18" t="str">
        <f xml:space="preserve">  MapNameLkup</f>
        <v>m_ofs_trex_ar_invoices</v>
      </c>
      <c r="B180" s="1" t="s">
        <v>857</v>
      </c>
      <c r="C180" s="1"/>
      <c r="D180" s="1" t="s">
        <v>6</v>
      </c>
      <c r="E180" s="1" t="s">
        <v>119</v>
      </c>
      <c r="F180" s="1"/>
      <c r="G180" s="1" t="s">
        <v>119</v>
      </c>
      <c r="H180" s="1" t="s">
        <v>8</v>
      </c>
      <c r="I180" s="1" t="s">
        <v>41</v>
      </c>
      <c r="J180" s="1"/>
      <c r="K180" s="1" t="s">
        <v>46</v>
      </c>
    </row>
    <row r="181" spans="1:11" x14ac:dyDescent="0.25">
      <c r="A181" s="18" t="str">
        <f xml:space="preserve">  MapNameLkup</f>
        <v>m_ofs_trex_ar_invoices</v>
      </c>
      <c r="B181" s="1" t="s">
        <v>857</v>
      </c>
      <c r="C181" s="1"/>
      <c r="D181" s="1" t="s">
        <v>6</v>
      </c>
      <c r="E181" s="1" t="s">
        <v>120</v>
      </c>
      <c r="F181" s="1"/>
      <c r="G181" s="1" t="s">
        <v>120</v>
      </c>
      <c r="H181" s="1" t="s">
        <v>8</v>
      </c>
      <c r="I181" s="1" t="s">
        <v>41</v>
      </c>
      <c r="J181" s="1"/>
      <c r="K181" s="1" t="s">
        <v>46</v>
      </c>
    </row>
    <row r="182" spans="1:11" x14ac:dyDescent="0.25">
      <c r="A182" s="18" t="str">
        <f xml:space="preserve">  MapNameLkup</f>
        <v>m_ofs_trex_ar_invoices</v>
      </c>
      <c r="B182" s="1" t="s">
        <v>857</v>
      </c>
      <c r="C182" s="1"/>
      <c r="D182" s="1" t="s">
        <v>6</v>
      </c>
      <c r="E182" s="1" t="s">
        <v>121</v>
      </c>
      <c r="F182" s="1"/>
      <c r="G182" s="1" t="s">
        <v>121</v>
      </c>
      <c r="H182" s="1" t="s">
        <v>8</v>
      </c>
      <c r="I182" s="1" t="s">
        <v>41</v>
      </c>
      <c r="J182" s="1"/>
      <c r="K182" s="1" t="s">
        <v>46</v>
      </c>
    </row>
    <row r="183" spans="1:11" x14ac:dyDescent="0.25">
      <c r="A183" s="18" t="str">
        <f xml:space="preserve">  MapNameLkup</f>
        <v>m_ofs_trex_ar_invoices</v>
      </c>
      <c r="B183" s="1" t="s">
        <v>857</v>
      </c>
      <c r="C183" s="1"/>
      <c r="D183" s="1" t="s">
        <v>6</v>
      </c>
      <c r="E183" s="1" t="s">
        <v>122</v>
      </c>
      <c r="F183" s="1"/>
      <c r="G183" s="1" t="s">
        <v>122</v>
      </c>
      <c r="H183" s="1" t="s">
        <v>8</v>
      </c>
      <c r="I183" s="1" t="s">
        <v>41</v>
      </c>
      <c r="J183" s="1"/>
      <c r="K183" s="1" t="s">
        <v>46</v>
      </c>
    </row>
    <row r="184" spans="1:11" x14ac:dyDescent="0.25">
      <c r="A184" s="18" t="str">
        <f xml:space="preserve">  MapNameLkup</f>
        <v>m_ofs_trex_ar_invoices</v>
      </c>
      <c r="B184" s="1" t="s">
        <v>857</v>
      </c>
      <c r="C184" s="1"/>
      <c r="D184" s="1" t="s">
        <v>6</v>
      </c>
      <c r="E184" s="1" t="s">
        <v>872</v>
      </c>
      <c r="F184" s="1"/>
      <c r="G184" s="1" t="s">
        <v>872</v>
      </c>
      <c r="H184" s="1" t="s">
        <v>8</v>
      </c>
      <c r="I184" s="1" t="s">
        <v>41</v>
      </c>
      <c r="J184" s="1"/>
      <c r="K184" s="1" t="s">
        <v>44</v>
      </c>
    </row>
    <row r="185" spans="1:11" x14ac:dyDescent="0.25">
      <c r="A185" s="18" t="str">
        <f xml:space="preserve">  MapNameLkup</f>
        <v>m_ofs_trex_ar_invoices</v>
      </c>
      <c r="B185" s="1" t="s">
        <v>857</v>
      </c>
      <c r="C185" s="1"/>
      <c r="D185" s="1" t="s">
        <v>6</v>
      </c>
      <c r="E185" s="1" t="s">
        <v>124</v>
      </c>
      <c r="F185" s="1"/>
      <c r="G185" s="1" t="s">
        <v>124</v>
      </c>
      <c r="H185" s="1" t="s">
        <v>8</v>
      </c>
      <c r="I185" s="1" t="s">
        <v>41</v>
      </c>
      <c r="J185" s="1"/>
      <c r="K185" s="1" t="s">
        <v>46</v>
      </c>
    </row>
    <row r="186" spans="1:11" x14ac:dyDescent="0.25">
      <c r="A186" s="18" t="str">
        <f xml:space="preserve">  MapNameLkup</f>
        <v>m_ofs_trex_ar_invoices</v>
      </c>
      <c r="B186" s="1" t="s">
        <v>857</v>
      </c>
      <c r="C186" s="1"/>
      <c r="D186" s="1" t="s">
        <v>6</v>
      </c>
      <c r="E186" s="1" t="s">
        <v>125</v>
      </c>
      <c r="F186" s="1"/>
      <c r="G186" s="1" t="s">
        <v>125</v>
      </c>
      <c r="H186" s="1" t="s">
        <v>8</v>
      </c>
      <c r="I186" s="1" t="s">
        <v>41</v>
      </c>
      <c r="J186" s="1"/>
      <c r="K186" s="1" t="s">
        <v>46</v>
      </c>
    </row>
    <row r="187" spans="1:11" x14ac:dyDescent="0.25">
      <c r="A187" s="18" t="str">
        <f xml:space="preserve">  MapNameLkup</f>
        <v>m_ofs_trex_ar_invoices</v>
      </c>
      <c r="B187" s="1" t="s">
        <v>857</v>
      </c>
      <c r="C187" s="1"/>
      <c r="D187" s="1" t="s">
        <v>6</v>
      </c>
      <c r="E187" s="1" t="s">
        <v>126</v>
      </c>
      <c r="F187" s="1"/>
      <c r="G187" s="1" t="s">
        <v>126</v>
      </c>
      <c r="H187" s="1" t="s">
        <v>8</v>
      </c>
      <c r="I187" s="1" t="s">
        <v>41</v>
      </c>
      <c r="J187" s="1"/>
      <c r="K187" s="1" t="s">
        <v>46</v>
      </c>
    </row>
    <row r="188" spans="1:11" x14ac:dyDescent="0.25">
      <c r="A188" s="18" t="str">
        <f xml:space="preserve">  MapNameLkup</f>
        <v>m_ofs_trex_ar_invoices</v>
      </c>
      <c r="B188" s="1" t="s">
        <v>857</v>
      </c>
      <c r="C188" s="1"/>
      <c r="D188" s="1" t="s">
        <v>6</v>
      </c>
      <c r="E188" s="1" t="s">
        <v>127</v>
      </c>
      <c r="F188" s="1"/>
      <c r="G188" s="1" t="s">
        <v>127</v>
      </c>
      <c r="H188" s="1" t="s">
        <v>8</v>
      </c>
      <c r="I188" s="1" t="s">
        <v>41</v>
      </c>
      <c r="J188" s="1"/>
      <c r="K188" s="1" t="s">
        <v>45</v>
      </c>
    </row>
    <row r="189" spans="1:11" x14ac:dyDescent="0.25">
      <c r="A189" s="18" t="str">
        <f xml:space="preserve">  MapNameLkup</f>
        <v>m_ofs_trex_ar_invoices</v>
      </c>
      <c r="B189" s="1" t="s">
        <v>857</v>
      </c>
      <c r="C189" s="1"/>
      <c r="D189" s="1" t="s">
        <v>6</v>
      </c>
      <c r="E189" s="1" t="s">
        <v>128</v>
      </c>
      <c r="F189" s="1"/>
      <c r="G189" s="1" t="s">
        <v>128</v>
      </c>
      <c r="H189" s="1" t="s">
        <v>8</v>
      </c>
      <c r="I189" s="1" t="s">
        <v>41</v>
      </c>
      <c r="J189" s="1"/>
      <c r="K189" s="1" t="s">
        <v>45</v>
      </c>
    </row>
    <row r="190" spans="1:11" x14ac:dyDescent="0.25">
      <c r="A190" s="18" t="str">
        <f xml:space="preserve">  MapNameLkup</f>
        <v>m_ofs_trex_ar_invoices</v>
      </c>
      <c r="B190" s="1" t="s">
        <v>857</v>
      </c>
      <c r="C190" s="1"/>
      <c r="D190" s="1" t="s">
        <v>6</v>
      </c>
      <c r="E190" s="1" t="s">
        <v>129</v>
      </c>
      <c r="F190" s="1"/>
      <c r="G190" s="1" t="s">
        <v>129</v>
      </c>
      <c r="H190" s="1" t="s">
        <v>8</v>
      </c>
      <c r="I190" s="1" t="s">
        <v>41</v>
      </c>
      <c r="J190" s="1"/>
      <c r="K190" s="1" t="s">
        <v>46</v>
      </c>
    </row>
    <row r="191" spans="1:11" x14ac:dyDescent="0.25">
      <c r="A191" s="18" t="str">
        <f xml:space="preserve">  MapNameLkup</f>
        <v>m_ofs_trex_ar_invoices</v>
      </c>
      <c r="B191" s="1" t="s">
        <v>857</v>
      </c>
      <c r="C191" s="1"/>
      <c r="D191" s="1" t="s">
        <v>6</v>
      </c>
      <c r="E191" s="1" t="s">
        <v>130</v>
      </c>
      <c r="F191" s="1"/>
      <c r="G191" s="1" t="s">
        <v>130</v>
      </c>
      <c r="H191" s="1" t="s">
        <v>8</v>
      </c>
      <c r="I191" s="1" t="s">
        <v>41</v>
      </c>
      <c r="J191" s="1"/>
      <c r="K191" s="1" t="s">
        <v>46</v>
      </c>
    </row>
    <row r="192" spans="1:11" x14ac:dyDescent="0.25">
      <c r="A192" s="18" t="str">
        <f xml:space="preserve">  MapNameLkup</f>
        <v>m_ofs_trex_ar_invoices</v>
      </c>
      <c r="B192" s="1" t="s">
        <v>857</v>
      </c>
      <c r="C192" s="1"/>
      <c r="D192" s="1" t="s">
        <v>6</v>
      </c>
      <c r="E192" s="1" t="s">
        <v>873</v>
      </c>
      <c r="F192" s="1"/>
      <c r="G192" s="1" t="s">
        <v>873</v>
      </c>
      <c r="H192" s="1" t="s">
        <v>8</v>
      </c>
      <c r="I192" s="1" t="s">
        <v>41</v>
      </c>
      <c r="J192" s="1"/>
      <c r="K192" s="1" t="s">
        <v>947</v>
      </c>
    </row>
    <row r="193" spans="1:11" x14ac:dyDescent="0.25">
      <c r="A193" s="18" t="str">
        <f xml:space="preserve">  MapNameLkup</f>
        <v>m_ofs_trex_ar_invoices</v>
      </c>
      <c r="B193" s="1" t="s">
        <v>857</v>
      </c>
      <c r="C193" s="1"/>
      <c r="D193" s="1" t="s">
        <v>6</v>
      </c>
      <c r="E193" s="1" t="s">
        <v>874</v>
      </c>
      <c r="F193" s="1"/>
      <c r="G193" s="1" t="s">
        <v>874</v>
      </c>
      <c r="H193" s="1" t="s">
        <v>8</v>
      </c>
      <c r="I193" s="1" t="s">
        <v>41</v>
      </c>
      <c r="J193" s="1"/>
      <c r="K193" s="1" t="s">
        <v>947</v>
      </c>
    </row>
    <row r="194" spans="1:11" x14ac:dyDescent="0.25">
      <c r="A194" s="18" t="str">
        <f xml:space="preserve">  MapNameLkup</f>
        <v>m_ofs_trex_ar_invoices</v>
      </c>
      <c r="B194" s="1" t="s">
        <v>857</v>
      </c>
      <c r="C194" s="1"/>
      <c r="D194" s="1" t="s">
        <v>6</v>
      </c>
      <c r="E194" s="1" t="s">
        <v>875</v>
      </c>
      <c r="F194" s="1"/>
      <c r="G194" s="1" t="s">
        <v>875</v>
      </c>
      <c r="H194" s="1" t="s">
        <v>8</v>
      </c>
      <c r="I194" s="1" t="s">
        <v>41</v>
      </c>
      <c r="J194" s="1"/>
      <c r="K194" s="1" t="s">
        <v>947</v>
      </c>
    </row>
    <row r="195" spans="1:11" x14ac:dyDescent="0.25">
      <c r="A195" s="18" t="str">
        <f xml:space="preserve">  MapNameLkup</f>
        <v>m_ofs_trex_ar_invoices</v>
      </c>
      <c r="B195" s="1" t="s">
        <v>857</v>
      </c>
      <c r="C195" s="1"/>
      <c r="D195" s="1" t="s">
        <v>6</v>
      </c>
      <c r="E195" s="1" t="s">
        <v>876</v>
      </c>
      <c r="F195" s="1"/>
      <c r="G195" s="1" t="s">
        <v>876</v>
      </c>
      <c r="H195" s="1" t="s">
        <v>8</v>
      </c>
      <c r="I195" s="1" t="s">
        <v>41</v>
      </c>
      <c r="J195" s="1"/>
      <c r="K195" s="1" t="s">
        <v>947</v>
      </c>
    </row>
    <row r="196" spans="1:11" x14ac:dyDescent="0.25">
      <c r="A196" s="18" t="str">
        <f xml:space="preserve">  MapNameLkup</f>
        <v>m_ofs_trex_ar_invoices</v>
      </c>
      <c r="B196" s="1" t="s">
        <v>857</v>
      </c>
      <c r="C196" s="1"/>
      <c r="D196" s="1" t="s">
        <v>6</v>
      </c>
      <c r="E196" s="1" t="s">
        <v>877</v>
      </c>
      <c r="F196" s="1"/>
      <c r="G196" s="1" t="s">
        <v>877</v>
      </c>
      <c r="H196" s="1" t="s">
        <v>8</v>
      </c>
      <c r="I196" s="1" t="s">
        <v>41</v>
      </c>
      <c r="J196" s="1"/>
      <c r="K196" s="1" t="s">
        <v>947</v>
      </c>
    </row>
    <row r="197" spans="1:11" x14ac:dyDescent="0.25">
      <c r="A197" s="18" t="str">
        <f xml:space="preserve">  MapNameLkup</f>
        <v>m_ofs_trex_ar_invoices</v>
      </c>
      <c r="B197" s="1" t="s">
        <v>857</v>
      </c>
      <c r="C197" s="1"/>
      <c r="D197" s="1" t="s">
        <v>6</v>
      </c>
      <c r="E197" s="1" t="s">
        <v>878</v>
      </c>
      <c r="F197" s="1"/>
      <c r="G197" s="1" t="s">
        <v>878</v>
      </c>
      <c r="H197" s="1" t="s">
        <v>8</v>
      </c>
      <c r="I197" s="1" t="s">
        <v>41</v>
      </c>
      <c r="J197" s="1"/>
      <c r="K197" s="1" t="s">
        <v>947</v>
      </c>
    </row>
    <row r="198" spans="1:11" x14ac:dyDescent="0.25">
      <c r="A198" s="18" t="str">
        <f xml:space="preserve">  MapNameLkup</f>
        <v>m_ofs_trex_ar_invoices</v>
      </c>
      <c r="B198" s="1" t="s">
        <v>857</v>
      </c>
      <c r="C198" s="1"/>
      <c r="D198" s="1" t="s">
        <v>6</v>
      </c>
      <c r="E198" s="1" t="s">
        <v>137</v>
      </c>
      <c r="F198" s="1"/>
      <c r="G198" s="1" t="s">
        <v>137</v>
      </c>
      <c r="H198" s="1" t="s">
        <v>8</v>
      </c>
      <c r="I198" s="1" t="s">
        <v>41</v>
      </c>
      <c r="J198" s="1"/>
      <c r="K198" s="1" t="s">
        <v>46</v>
      </c>
    </row>
    <row r="199" spans="1:11" x14ac:dyDescent="0.25">
      <c r="A199" s="18" t="str">
        <f xml:space="preserve">  MapNameLkup</f>
        <v>m_ofs_trex_ar_invoices</v>
      </c>
      <c r="B199" s="1" t="s">
        <v>857</v>
      </c>
      <c r="C199" s="1"/>
      <c r="D199" s="1" t="s">
        <v>6</v>
      </c>
      <c r="E199" s="1" t="s">
        <v>138</v>
      </c>
      <c r="F199" s="1"/>
      <c r="G199" s="1" t="s">
        <v>138</v>
      </c>
      <c r="H199" s="1" t="s">
        <v>8</v>
      </c>
      <c r="I199" s="1" t="s">
        <v>41</v>
      </c>
      <c r="J199" s="1"/>
      <c r="K199" s="1" t="s">
        <v>46</v>
      </c>
    </row>
    <row r="200" spans="1:11" x14ac:dyDescent="0.25">
      <c r="A200" s="18" t="str">
        <f xml:space="preserve">  MapNameLkup</f>
        <v>m_ofs_trex_ar_invoices</v>
      </c>
      <c r="B200" s="1" t="s">
        <v>857</v>
      </c>
      <c r="C200" s="1"/>
      <c r="D200" s="1" t="s">
        <v>6</v>
      </c>
      <c r="E200" s="1" t="s">
        <v>139</v>
      </c>
      <c r="F200" s="1"/>
      <c r="G200" s="1" t="s">
        <v>139</v>
      </c>
      <c r="H200" s="1" t="s">
        <v>8</v>
      </c>
      <c r="I200" s="1" t="s">
        <v>41</v>
      </c>
      <c r="J200" s="1"/>
      <c r="K200" s="1" t="s">
        <v>46</v>
      </c>
    </row>
    <row r="201" spans="1:11" x14ac:dyDescent="0.25">
      <c r="A201" s="18" t="str">
        <f xml:space="preserve">  MapNameLkup</f>
        <v>m_ofs_trex_ar_invoices</v>
      </c>
      <c r="B201" s="1" t="s">
        <v>857</v>
      </c>
      <c r="C201" s="1"/>
      <c r="D201" s="1" t="s">
        <v>6</v>
      </c>
      <c r="E201" s="1" t="s">
        <v>140</v>
      </c>
      <c r="F201" s="1"/>
      <c r="G201" s="1" t="s">
        <v>140</v>
      </c>
      <c r="H201" s="1" t="s">
        <v>8</v>
      </c>
      <c r="I201" s="1" t="s">
        <v>41</v>
      </c>
      <c r="J201" s="1"/>
      <c r="K201" s="1" t="s">
        <v>46</v>
      </c>
    </row>
    <row r="202" spans="1:11" x14ac:dyDescent="0.25">
      <c r="A202" s="18" t="str">
        <f xml:space="preserve">  MapNameLkup</f>
        <v>m_ofs_trex_ar_invoices</v>
      </c>
      <c r="B202" s="1" t="s">
        <v>857</v>
      </c>
      <c r="C202" s="1"/>
      <c r="D202" s="1" t="s">
        <v>6</v>
      </c>
      <c r="E202" s="1" t="s">
        <v>141</v>
      </c>
      <c r="F202" s="1"/>
      <c r="G202" s="1" t="s">
        <v>141</v>
      </c>
      <c r="H202" s="1" t="s">
        <v>8</v>
      </c>
      <c r="I202" s="1" t="s">
        <v>41</v>
      </c>
      <c r="J202" s="1"/>
      <c r="K202" s="1" t="s">
        <v>46</v>
      </c>
    </row>
    <row r="203" spans="1:11" x14ac:dyDescent="0.25">
      <c r="A203" s="18" t="str">
        <f xml:space="preserve">  MapNameLkup</f>
        <v>m_ofs_trex_ar_invoices</v>
      </c>
      <c r="B203" s="1" t="s">
        <v>857</v>
      </c>
      <c r="C203" s="1"/>
      <c r="D203" s="1" t="s">
        <v>6</v>
      </c>
      <c r="E203" s="1" t="s">
        <v>142</v>
      </c>
      <c r="F203" s="1"/>
      <c r="G203" s="1" t="s">
        <v>142</v>
      </c>
      <c r="H203" s="1" t="s">
        <v>8</v>
      </c>
      <c r="I203" s="1" t="s">
        <v>41</v>
      </c>
      <c r="J203" s="1"/>
      <c r="K203" s="1" t="s">
        <v>45</v>
      </c>
    </row>
    <row r="204" spans="1:11" x14ac:dyDescent="0.25">
      <c r="A204" s="18" t="str">
        <f xml:space="preserve">  MapNameLkup</f>
        <v>m_ofs_trex_ar_invoices</v>
      </c>
      <c r="B204" s="1" t="s">
        <v>857</v>
      </c>
      <c r="C204" s="1"/>
      <c r="D204" s="1" t="s">
        <v>6</v>
      </c>
      <c r="E204" s="1" t="s">
        <v>143</v>
      </c>
      <c r="F204" s="1"/>
      <c r="G204" s="1" t="s">
        <v>143</v>
      </c>
      <c r="H204" s="1" t="s">
        <v>8</v>
      </c>
      <c r="I204" s="1" t="s">
        <v>41</v>
      </c>
      <c r="J204" s="1"/>
      <c r="K204" s="1" t="s">
        <v>45</v>
      </c>
    </row>
    <row r="205" spans="1:11" x14ac:dyDescent="0.25">
      <c r="A205" s="18" t="str">
        <f xml:space="preserve">  MapNameLkup</f>
        <v>m_ofs_trex_ar_invoices</v>
      </c>
      <c r="B205" s="1" t="s">
        <v>857</v>
      </c>
      <c r="C205" s="1"/>
      <c r="D205" s="1" t="s">
        <v>6</v>
      </c>
      <c r="E205" s="1" t="s">
        <v>144</v>
      </c>
      <c r="F205" s="1"/>
      <c r="G205" s="1" t="s">
        <v>144</v>
      </c>
      <c r="H205" s="1" t="s">
        <v>8</v>
      </c>
      <c r="I205" s="1" t="s">
        <v>41</v>
      </c>
      <c r="J205" s="1"/>
      <c r="K205" s="1" t="s">
        <v>45</v>
      </c>
    </row>
    <row r="206" spans="1:11" x14ac:dyDescent="0.25">
      <c r="A206" s="18" t="str">
        <f xml:space="preserve">  MapNameLkup</f>
        <v>m_ofs_trex_ar_invoices</v>
      </c>
      <c r="B206" s="1" t="s">
        <v>857</v>
      </c>
      <c r="C206" s="1"/>
      <c r="D206" s="1" t="s">
        <v>6</v>
      </c>
      <c r="E206" s="1" t="s">
        <v>145</v>
      </c>
      <c r="F206" s="1"/>
      <c r="G206" s="1" t="s">
        <v>145</v>
      </c>
      <c r="H206" s="1" t="s">
        <v>8</v>
      </c>
      <c r="I206" s="1" t="s">
        <v>41</v>
      </c>
      <c r="J206" s="1"/>
      <c r="K206" s="1" t="s">
        <v>45</v>
      </c>
    </row>
    <row r="207" spans="1:11" x14ac:dyDescent="0.25">
      <c r="A207" s="18" t="str">
        <f xml:space="preserve">  MapNameLkup</f>
        <v>m_ofs_trex_ar_invoices</v>
      </c>
      <c r="B207" s="1" t="s">
        <v>857</v>
      </c>
      <c r="C207" s="1"/>
      <c r="D207" s="1" t="s">
        <v>6</v>
      </c>
      <c r="E207" s="1" t="s">
        <v>883</v>
      </c>
      <c r="F207" s="1"/>
      <c r="G207" s="1" t="s">
        <v>883</v>
      </c>
      <c r="H207" s="1" t="s">
        <v>8</v>
      </c>
      <c r="I207" s="1" t="s">
        <v>41</v>
      </c>
      <c r="J207" s="1"/>
      <c r="K207" s="1" t="s">
        <v>840</v>
      </c>
    </row>
    <row r="208" spans="1:11" x14ac:dyDescent="0.25">
      <c r="A208" s="18" t="str">
        <f xml:space="preserve">  MapNameLkup</f>
        <v>m_ofs_trex_ar_invoices</v>
      </c>
      <c r="B208" s="1" t="s">
        <v>857</v>
      </c>
      <c r="C208" s="1"/>
      <c r="D208" s="1" t="s">
        <v>6</v>
      </c>
      <c r="E208" s="1" t="s">
        <v>884</v>
      </c>
      <c r="F208" s="1"/>
      <c r="G208" s="1" t="s">
        <v>884</v>
      </c>
      <c r="H208" s="1" t="s">
        <v>8</v>
      </c>
      <c r="I208" s="1" t="s">
        <v>41</v>
      </c>
      <c r="J208" s="1"/>
      <c r="K208" s="1" t="s">
        <v>46</v>
      </c>
    </row>
    <row r="209" spans="1:11" x14ac:dyDescent="0.25">
      <c r="A209" s="18" t="str">
        <f xml:space="preserve">  MapNameLkup</f>
        <v>m_ofs_trex_ar_invoices</v>
      </c>
      <c r="B209" s="1" t="s">
        <v>857</v>
      </c>
      <c r="C209" s="1"/>
      <c r="D209" s="1" t="s">
        <v>6</v>
      </c>
      <c r="E209" s="1" t="s">
        <v>885</v>
      </c>
      <c r="F209" s="1"/>
      <c r="G209" s="1" t="s">
        <v>885</v>
      </c>
      <c r="H209" s="1" t="s">
        <v>8</v>
      </c>
      <c r="I209" s="1" t="s">
        <v>41</v>
      </c>
      <c r="J209" s="1"/>
      <c r="K209" s="1" t="s">
        <v>46</v>
      </c>
    </row>
    <row r="210" spans="1:11" x14ac:dyDescent="0.25">
      <c r="A210" s="18" t="str">
        <f xml:space="preserve">  MapNameLkup</f>
        <v>m_ofs_trex_ar_invoices</v>
      </c>
      <c r="B210" s="1" t="s">
        <v>857</v>
      </c>
      <c r="C210" s="1"/>
      <c r="D210" s="1" t="s">
        <v>6</v>
      </c>
      <c r="E210" s="1" t="s">
        <v>886</v>
      </c>
      <c r="F210" s="1"/>
      <c r="G210" s="1" t="s">
        <v>886</v>
      </c>
      <c r="H210" s="1" t="s">
        <v>8</v>
      </c>
      <c r="I210" s="1" t="s">
        <v>41</v>
      </c>
      <c r="J210" s="1"/>
      <c r="K210" s="1" t="s">
        <v>46</v>
      </c>
    </row>
    <row r="211" spans="1:11" x14ac:dyDescent="0.25">
      <c r="A211" s="18" t="str">
        <f xml:space="preserve">  MapNameLkup</f>
        <v>m_ofs_trex_ar_invoices</v>
      </c>
      <c r="B211" s="1" t="s">
        <v>857</v>
      </c>
      <c r="C211" s="1"/>
      <c r="D211" s="1" t="s">
        <v>6</v>
      </c>
      <c r="E211" s="1" t="s">
        <v>887</v>
      </c>
      <c r="F211" s="1"/>
      <c r="G211" s="1" t="s">
        <v>887</v>
      </c>
      <c r="H211" s="1" t="s">
        <v>8</v>
      </c>
      <c r="I211" s="1" t="s">
        <v>41</v>
      </c>
      <c r="J211" s="1"/>
      <c r="K211" s="1" t="s">
        <v>44</v>
      </c>
    </row>
    <row r="212" spans="1:11" x14ac:dyDescent="0.25">
      <c r="A212" s="18" t="str">
        <f xml:space="preserve">  MapNameLkup</f>
        <v>m_ofs_trex_ar_invoices</v>
      </c>
      <c r="B212" s="1" t="s">
        <v>857</v>
      </c>
      <c r="C212" s="1"/>
      <c r="D212" s="1" t="s">
        <v>6</v>
      </c>
      <c r="E212" s="1" t="s">
        <v>888</v>
      </c>
      <c r="F212" s="1"/>
      <c r="G212" s="1" t="s">
        <v>888</v>
      </c>
      <c r="H212" s="1" t="s">
        <v>8</v>
      </c>
      <c r="I212" s="1" t="s">
        <v>41</v>
      </c>
      <c r="J212" s="1"/>
      <c r="K212" s="1" t="s">
        <v>44</v>
      </c>
    </row>
    <row r="213" spans="1:11" x14ac:dyDescent="0.25">
      <c r="A213" s="18" t="str">
        <f xml:space="preserve">  MapNameLkup</f>
        <v>m_ofs_trex_ar_invoices</v>
      </c>
      <c r="B213" s="1" t="s">
        <v>857</v>
      </c>
      <c r="C213" s="1"/>
      <c r="D213" s="1" t="s">
        <v>6</v>
      </c>
      <c r="E213" s="1" t="s">
        <v>889</v>
      </c>
      <c r="F213" s="1"/>
      <c r="G213" s="1" t="s">
        <v>889</v>
      </c>
      <c r="H213" s="1" t="s">
        <v>8</v>
      </c>
      <c r="I213" s="1" t="s">
        <v>41</v>
      </c>
      <c r="J213" s="1"/>
      <c r="K213" s="1" t="s">
        <v>46</v>
      </c>
    </row>
    <row r="214" spans="1:11" x14ac:dyDescent="0.25">
      <c r="A214" s="18" t="str">
        <f xml:space="preserve">  MapNameLkup</f>
        <v>m_ofs_trex_ar_invoices</v>
      </c>
      <c r="B214" s="1" t="s">
        <v>857</v>
      </c>
      <c r="C214" s="1"/>
      <c r="D214" s="1" t="s">
        <v>6</v>
      </c>
      <c r="E214" s="1" t="s">
        <v>890</v>
      </c>
      <c r="F214" s="1"/>
      <c r="G214" s="1" t="s">
        <v>890</v>
      </c>
      <c r="H214" s="1" t="s">
        <v>8</v>
      </c>
      <c r="I214" s="1" t="s">
        <v>41</v>
      </c>
      <c r="J214" s="1"/>
      <c r="K214" s="1" t="s">
        <v>46</v>
      </c>
    </row>
    <row r="215" spans="1:11" x14ac:dyDescent="0.25">
      <c r="A215" s="18" t="str">
        <f xml:space="preserve">  MapNameLkup</f>
        <v>m_ofs_trex_ar_invoices</v>
      </c>
      <c r="B215" s="1" t="s">
        <v>857</v>
      </c>
      <c r="C215" s="1"/>
      <c r="D215" s="1" t="s">
        <v>6</v>
      </c>
      <c r="E215" s="1" t="s">
        <v>891</v>
      </c>
      <c r="F215" s="1"/>
      <c r="G215" s="1" t="s">
        <v>891</v>
      </c>
      <c r="H215" s="1" t="s">
        <v>8</v>
      </c>
      <c r="I215" s="1" t="s">
        <v>41</v>
      </c>
      <c r="J215" s="1"/>
      <c r="K215" s="1" t="s">
        <v>46</v>
      </c>
    </row>
    <row r="216" spans="1:11" x14ac:dyDescent="0.25">
      <c r="A216" s="18" t="str">
        <f xml:space="preserve">  MapNameLkup</f>
        <v>m_ofs_trex_ar_invoices</v>
      </c>
      <c r="B216" s="1" t="s">
        <v>857</v>
      </c>
      <c r="C216" s="1"/>
      <c r="D216" s="1" t="s">
        <v>6</v>
      </c>
      <c r="E216" s="1" t="s">
        <v>892</v>
      </c>
      <c r="F216" s="1"/>
      <c r="G216" s="1" t="s">
        <v>892</v>
      </c>
      <c r="H216" s="1" t="s">
        <v>8</v>
      </c>
      <c r="I216" s="1" t="s">
        <v>41</v>
      </c>
      <c r="J216" s="1"/>
      <c r="K216" s="1" t="s">
        <v>46</v>
      </c>
    </row>
    <row r="217" spans="1:11" x14ac:dyDescent="0.25">
      <c r="A217" s="18" t="str">
        <f xml:space="preserve">  MapNameLkup</f>
        <v>m_ofs_trex_ar_invoices</v>
      </c>
      <c r="B217" s="1" t="s">
        <v>857</v>
      </c>
      <c r="C217" s="1"/>
      <c r="D217" s="1" t="s">
        <v>6</v>
      </c>
      <c r="E217" s="1" t="s">
        <v>893</v>
      </c>
      <c r="F217" s="1"/>
      <c r="G217" s="1" t="s">
        <v>893</v>
      </c>
      <c r="H217" s="1" t="s">
        <v>8</v>
      </c>
      <c r="I217" s="1" t="s">
        <v>41</v>
      </c>
      <c r="J217" s="1"/>
      <c r="K217" s="1" t="s">
        <v>44</v>
      </c>
    </row>
    <row r="218" spans="1:11" x14ac:dyDescent="0.25">
      <c r="A218" s="18" t="str">
        <f xml:space="preserve">  MapNameLkup</f>
        <v>m_ofs_trex_ar_invoices</v>
      </c>
      <c r="B218" s="1" t="s">
        <v>857</v>
      </c>
      <c r="C218" s="1"/>
      <c r="D218" s="1" t="s">
        <v>6</v>
      </c>
      <c r="E218" s="1" t="s">
        <v>894</v>
      </c>
      <c r="F218" s="1"/>
      <c r="G218" s="1" t="s">
        <v>894</v>
      </c>
      <c r="H218" s="1" t="s">
        <v>8</v>
      </c>
      <c r="I218" s="1" t="s">
        <v>41</v>
      </c>
      <c r="J218" s="1"/>
      <c r="K218" s="1" t="s">
        <v>46</v>
      </c>
    </row>
    <row r="219" spans="1:11" x14ac:dyDescent="0.25">
      <c r="A219" s="18" t="str">
        <f xml:space="preserve">  MapNameLkup</f>
        <v>m_ofs_trex_ar_invoices</v>
      </c>
      <c r="B219" s="1" t="s">
        <v>857</v>
      </c>
      <c r="C219" s="1"/>
      <c r="D219" s="1" t="s">
        <v>6</v>
      </c>
      <c r="E219" s="1" t="s">
        <v>895</v>
      </c>
      <c r="F219" s="1"/>
      <c r="G219" s="1" t="s">
        <v>895</v>
      </c>
      <c r="H219" s="1" t="s">
        <v>8</v>
      </c>
      <c r="I219" s="1" t="s">
        <v>41</v>
      </c>
      <c r="J219" s="1"/>
      <c r="K219" s="1" t="s">
        <v>46</v>
      </c>
    </row>
    <row r="220" spans="1:11" x14ac:dyDescent="0.25">
      <c r="A220" s="18" t="str">
        <f xml:space="preserve">  MapNameLkup</f>
        <v>m_ofs_trex_ar_invoices</v>
      </c>
      <c r="B220" s="1" t="s">
        <v>857</v>
      </c>
      <c r="C220" s="1"/>
      <c r="D220" s="1" t="s">
        <v>6</v>
      </c>
      <c r="E220" s="1" t="s">
        <v>896</v>
      </c>
      <c r="F220" s="1"/>
      <c r="G220" s="1" t="s">
        <v>896</v>
      </c>
      <c r="H220" s="1" t="s">
        <v>8</v>
      </c>
      <c r="I220" s="1" t="s">
        <v>41</v>
      </c>
      <c r="J220" s="1"/>
      <c r="K220" s="1" t="s">
        <v>46</v>
      </c>
    </row>
    <row r="221" spans="1:11" x14ac:dyDescent="0.25">
      <c r="A221" s="18" t="str">
        <f xml:space="preserve">  MapNameLkup</f>
        <v>m_ofs_trex_ar_invoices</v>
      </c>
      <c r="B221" s="1" t="s">
        <v>857</v>
      </c>
      <c r="C221" s="1"/>
      <c r="D221" s="1" t="s">
        <v>6</v>
      </c>
      <c r="E221" s="1" t="s">
        <v>897</v>
      </c>
      <c r="F221" s="1"/>
      <c r="G221" s="1" t="s">
        <v>897</v>
      </c>
      <c r="H221" s="1" t="s">
        <v>8</v>
      </c>
      <c r="I221" s="1" t="s">
        <v>41</v>
      </c>
      <c r="J221" s="1"/>
      <c r="K221" s="1" t="s">
        <v>45</v>
      </c>
    </row>
    <row r="222" spans="1:11" x14ac:dyDescent="0.25">
      <c r="A222" s="18" t="str">
        <f xml:space="preserve">  MapNameLkup</f>
        <v>m_ofs_trex_ar_invoices</v>
      </c>
      <c r="B222" s="1" t="s">
        <v>857</v>
      </c>
      <c r="C222" s="1"/>
      <c r="D222" s="1" t="s">
        <v>6</v>
      </c>
      <c r="E222" s="1" t="s">
        <v>898</v>
      </c>
      <c r="F222" s="1"/>
      <c r="G222" s="1" t="s">
        <v>898</v>
      </c>
      <c r="H222" s="1" t="s">
        <v>8</v>
      </c>
      <c r="I222" s="1" t="s">
        <v>41</v>
      </c>
      <c r="J222" s="1"/>
      <c r="K222" s="1" t="s">
        <v>45</v>
      </c>
    </row>
    <row r="223" spans="1:11" x14ac:dyDescent="0.25">
      <c r="A223" s="18" t="str">
        <f xml:space="preserve">  MapNameLkup</f>
        <v>m_ofs_trex_ar_invoices</v>
      </c>
      <c r="B223" s="1" t="s">
        <v>857</v>
      </c>
      <c r="C223" s="1"/>
      <c r="D223" s="1" t="s">
        <v>6</v>
      </c>
      <c r="E223" s="1" t="s">
        <v>899</v>
      </c>
      <c r="F223" s="1"/>
      <c r="G223" s="1" t="s">
        <v>899</v>
      </c>
      <c r="H223" s="1" t="s">
        <v>8</v>
      </c>
      <c r="I223" s="1" t="s">
        <v>41</v>
      </c>
      <c r="J223" s="1"/>
      <c r="K223" s="1" t="s">
        <v>46</v>
      </c>
    </row>
    <row r="224" spans="1:11" x14ac:dyDescent="0.25">
      <c r="A224" s="18" t="str">
        <f xml:space="preserve">  MapNameLkup</f>
        <v>m_ofs_trex_ar_invoices</v>
      </c>
      <c r="B224" s="1" t="s">
        <v>857</v>
      </c>
      <c r="C224" s="1"/>
      <c r="D224" s="1" t="s">
        <v>6</v>
      </c>
      <c r="E224" s="1" t="s">
        <v>900</v>
      </c>
      <c r="F224" s="1"/>
      <c r="G224" s="1" t="s">
        <v>900</v>
      </c>
      <c r="H224" s="1" t="s">
        <v>8</v>
      </c>
      <c r="I224" s="1" t="s">
        <v>41</v>
      </c>
      <c r="J224" s="1"/>
      <c r="K224" s="1" t="s">
        <v>46</v>
      </c>
    </row>
    <row r="225" spans="1:11" x14ac:dyDescent="0.25">
      <c r="A225" s="18" t="str">
        <f xml:space="preserve">  MapNameLkup</f>
        <v>m_ofs_trex_ar_invoices</v>
      </c>
      <c r="B225" s="1" t="s">
        <v>857</v>
      </c>
      <c r="C225" s="1"/>
      <c r="D225" s="1" t="s">
        <v>6</v>
      </c>
      <c r="E225" s="1" t="s">
        <v>901</v>
      </c>
      <c r="F225" s="1"/>
      <c r="G225" s="1" t="s">
        <v>901</v>
      </c>
      <c r="H225" s="1" t="s">
        <v>8</v>
      </c>
      <c r="I225" s="1" t="s">
        <v>41</v>
      </c>
      <c r="J225" s="1"/>
      <c r="K225" s="1" t="s">
        <v>947</v>
      </c>
    </row>
    <row r="226" spans="1:11" x14ac:dyDescent="0.25">
      <c r="A226" s="18" t="str">
        <f xml:space="preserve">  MapNameLkup</f>
        <v>m_ofs_trex_ar_invoices</v>
      </c>
      <c r="B226" s="1" t="s">
        <v>857</v>
      </c>
      <c r="C226" s="1"/>
      <c r="D226" s="1" t="s">
        <v>6</v>
      </c>
      <c r="E226" s="1" t="s">
        <v>902</v>
      </c>
      <c r="F226" s="1"/>
      <c r="G226" s="1" t="s">
        <v>902</v>
      </c>
      <c r="H226" s="1" t="s">
        <v>8</v>
      </c>
      <c r="I226" s="1" t="s">
        <v>41</v>
      </c>
      <c r="J226" s="1"/>
      <c r="K226" s="1" t="s">
        <v>947</v>
      </c>
    </row>
    <row r="227" spans="1:11" x14ac:dyDescent="0.25">
      <c r="A227" s="18" t="str">
        <f xml:space="preserve">  MapNameLkup</f>
        <v>m_ofs_trex_ar_invoices</v>
      </c>
      <c r="B227" s="1" t="s">
        <v>857</v>
      </c>
      <c r="C227" s="1"/>
      <c r="D227" s="1" t="s">
        <v>6</v>
      </c>
      <c r="E227" s="1" t="s">
        <v>903</v>
      </c>
      <c r="F227" s="1"/>
      <c r="G227" s="1" t="s">
        <v>903</v>
      </c>
      <c r="H227" s="1" t="s">
        <v>8</v>
      </c>
      <c r="I227" s="1" t="s">
        <v>41</v>
      </c>
      <c r="J227" s="1"/>
      <c r="K227" s="1" t="s">
        <v>947</v>
      </c>
    </row>
    <row r="228" spans="1:11" x14ac:dyDescent="0.25">
      <c r="A228" s="18" t="str">
        <f xml:space="preserve">  MapNameLkup</f>
        <v>m_ofs_trex_ar_invoices</v>
      </c>
      <c r="B228" s="1" t="s">
        <v>857</v>
      </c>
      <c r="C228" s="1"/>
      <c r="D228" s="1" t="s">
        <v>6</v>
      </c>
      <c r="E228" s="1" t="s">
        <v>904</v>
      </c>
      <c r="F228" s="1"/>
      <c r="G228" s="1" t="s">
        <v>904</v>
      </c>
      <c r="H228" s="1" t="s">
        <v>8</v>
      </c>
      <c r="I228" s="1" t="s">
        <v>41</v>
      </c>
      <c r="J228" s="1"/>
      <c r="K228" s="1" t="s">
        <v>947</v>
      </c>
    </row>
    <row r="229" spans="1:11" x14ac:dyDescent="0.25">
      <c r="A229" s="18" t="str">
        <f xml:space="preserve">  MapNameLkup</f>
        <v>m_ofs_trex_ar_invoices</v>
      </c>
      <c r="B229" s="1" t="s">
        <v>857</v>
      </c>
      <c r="C229" s="1"/>
      <c r="D229" s="1" t="s">
        <v>6</v>
      </c>
      <c r="E229" s="1" t="s">
        <v>905</v>
      </c>
      <c r="F229" s="1"/>
      <c r="G229" s="1" t="s">
        <v>905</v>
      </c>
      <c r="H229" s="1" t="s">
        <v>8</v>
      </c>
      <c r="I229" s="1" t="s">
        <v>41</v>
      </c>
      <c r="J229" s="1"/>
      <c r="K229" s="1" t="s">
        <v>947</v>
      </c>
    </row>
    <row r="230" spans="1:11" x14ac:dyDescent="0.25">
      <c r="A230" s="18" t="str">
        <f xml:space="preserve">  MapNameLkup</f>
        <v>m_ofs_trex_ar_invoices</v>
      </c>
      <c r="B230" s="1" t="s">
        <v>857</v>
      </c>
      <c r="C230" s="1"/>
      <c r="D230" s="1" t="s">
        <v>6</v>
      </c>
      <c r="E230" s="1" t="s">
        <v>906</v>
      </c>
      <c r="F230" s="1"/>
      <c r="G230" s="1" t="s">
        <v>906</v>
      </c>
      <c r="H230" s="1" t="s">
        <v>8</v>
      </c>
      <c r="I230" s="1" t="s">
        <v>41</v>
      </c>
      <c r="J230" s="1"/>
      <c r="K230" s="1" t="s">
        <v>947</v>
      </c>
    </row>
    <row r="231" spans="1:11" x14ac:dyDescent="0.25">
      <c r="A231" s="18" t="str">
        <f xml:space="preserve">  MapNameLkup</f>
        <v>m_ofs_trex_ar_invoices</v>
      </c>
      <c r="B231" s="1" t="s">
        <v>857</v>
      </c>
      <c r="C231" s="1"/>
      <c r="D231" s="1" t="s">
        <v>6</v>
      </c>
      <c r="E231" s="1" t="s">
        <v>907</v>
      </c>
      <c r="F231" s="1"/>
      <c r="G231" s="1" t="s">
        <v>907</v>
      </c>
      <c r="H231" s="1" t="s">
        <v>8</v>
      </c>
      <c r="I231" s="1" t="s">
        <v>41</v>
      </c>
      <c r="J231" s="1"/>
      <c r="K231" s="1" t="s">
        <v>46</v>
      </c>
    </row>
    <row r="232" spans="1:11" x14ac:dyDescent="0.25">
      <c r="A232" s="18" t="str">
        <f xml:space="preserve">  MapNameLkup</f>
        <v>m_ofs_trex_ar_invoices</v>
      </c>
      <c r="B232" s="1" t="s">
        <v>857</v>
      </c>
      <c r="C232" s="1"/>
      <c r="D232" s="1" t="s">
        <v>6</v>
      </c>
      <c r="E232" s="1" t="s">
        <v>908</v>
      </c>
      <c r="F232" s="1"/>
      <c r="G232" s="1" t="s">
        <v>908</v>
      </c>
      <c r="H232" s="1" t="s">
        <v>8</v>
      </c>
      <c r="I232" s="1" t="s">
        <v>41</v>
      </c>
      <c r="J232" s="1"/>
      <c r="K232" s="1" t="s">
        <v>46</v>
      </c>
    </row>
    <row r="233" spans="1:11" x14ac:dyDescent="0.25">
      <c r="A233" s="18" t="str">
        <f xml:space="preserve">  MapNameLkup</f>
        <v>m_ofs_trex_ar_invoices</v>
      </c>
      <c r="B233" s="1" t="s">
        <v>857</v>
      </c>
      <c r="C233" s="1"/>
      <c r="D233" s="1" t="s">
        <v>6</v>
      </c>
      <c r="E233" s="1" t="s">
        <v>909</v>
      </c>
      <c r="F233" s="1"/>
      <c r="G233" s="1" t="s">
        <v>909</v>
      </c>
      <c r="H233" s="1" t="s">
        <v>8</v>
      </c>
      <c r="I233" s="1" t="s">
        <v>41</v>
      </c>
      <c r="J233" s="1"/>
      <c r="K233" s="1" t="s">
        <v>46</v>
      </c>
    </row>
    <row r="234" spans="1:11" x14ac:dyDescent="0.25">
      <c r="A234" s="18" t="str">
        <f xml:space="preserve">  MapNameLkup</f>
        <v>m_ofs_trex_ar_invoices</v>
      </c>
      <c r="B234" s="1" t="s">
        <v>857</v>
      </c>
      <c r="C234" s="1"/>
      <c r="D234" s="1" t="s">
        <v>6</v>
      </c>
      <c r="E234" s="1" t="s">
        <v>910</v>
      </c>
      <c r="F234" s="1"/>
      <c r="G234" s="1" t="s">
        <v>910</v>
      </c>
      <c r="H234" s="1" t="s">
        <v>8</v>
      </c>
      <c r="I234" s="1" t="s">
        <v>41</v>
      </c>
      <c r="J234" s="1"/>
      <c r="K234" s="1" t="s">
        <v>46</v>
      </c>
    </row>
    <row r="235" spans="1:11" x14ac:dyDescent="0.25">
      <c r="A235" s="18" t="str">
        <f xml:space="preserve">  MapNameLkup</f>
        <v>m_ofs_trex_ar_invoices</v>
      </c>
      <c r="B235" s="1" t="s">
        <v>857</v>
      </c>
      <c r="C235" s="1"/>
      <c r="D235" s="1" t="s">
        <v>6</v>
      </c>
      <c r="E235" s="1" t="s">
        <v>911</v>
      </c>
      <c r="F235" s="1"/>
      <c r="G235" s="1" t="s">
        <v>911</v>
      </c>
      <c r="H235" s="1" t="s">
        <v>8</v>
      </c>
      <c r="I235" s="1" t="s">
        <v>41</v>
      </c>
      <c r="J235" s="1"/>
      <c r="K235" s="1" t="s">
        <v>46</v>
      </c>
    </row>
    <row r="236" spans="1:11" x14ac:dyDescent="0.25">
      <c r="A236" s="18" t="str">
        <f xml:space="preserve">  MapNameLkup</f>
        <v>m_ofs_trex_ar_invoices</v>
      </c>
      <c r="B236" s="1" t="s">
        <v>857</v>
      </c>
      <c r="C236" s="1"/>
      <c r="D236" s="1" t="s">
        <v>6</v>
      </c>
      <c r="E236" s="1" t="s">
        <v>912</v>
      </c>
      <c r="F236" s="1"/>
      <c r="G236" s="1" t="s">
        <v>912</v>
      </c>
      <c r="H236" s="1" t="s">
        <v>8</v>
      </c>
      <c r="I236" s="1" t="s">
        <v>41</v>
      </c>
      <c r="J236" s="1"/>
      <c r="K236" s="1" t="s">
        <v>45</v>
      </c>
    </row>
    <row r="237" spans="1:11" x14ac:dyDescent="0.25">
      <c r="A237" s="18" t="str">
        <f xml:space="preserve">  MapNameLkup</f>
        <v>m_ofs_trex_ar_invoices</v>
      </c>
      <c r="B237" s="1" t="s">
        <v>857</v>
      </c>
      <c r="C237" s="1"/>
      <c r="D237" s="1" t="s">
        <v>6</v>
      </c>
      <c r="E237" s="1" t="s">
        <v>913</v>
      </c>
      <c r="F237" s="1"/>
      <c r="G237" s="1" t="s">
        <v>913</v>
      </c>
      <c r="H237" s="1" t="s">
        <v>8</v>
      </c>
      <c r="I237" s="1" t="s">
        <v>41</v>
      </c>
      <c r="J237" s="1"/>
      <c r="K237" s="1" t="s">
        <v>45</v>
      </c>
    </row>
    <row r="238" spans="1:11" x14ac:dyDescent="0.25">
      <c r="A238" s="18" t="str">
        <f xml:space="preserve">  MapNameLkup</f>
        <v>m_ofs_trex_ar_invoices</v>
      </c>
      <c r="B238" s="1" t="s">
        <v>857</v>
      </c>
      <c r="C238" s="1"/>
      <c r="D238" s="1" t="s">
        <v>6</v>
      </c>
      <c r="E238" s="1" t="s">
        <v>914</v>
      </c>
      <c r="F238" s="1"/>
      <c r="G238" s="1" t="s">
        <v>914</v>
      </c>
      <c r="H238" s="1" t="s">
        <v>8</v>
      </c>
      <c r="I238" s="1" t="s">
        <v>41</v>
      </c>
      <c r="J238" s="1"/>
      <c r="K238" s="1" t="s">
        <v>45</v>
      </c>
    </row>
    <row r="239" spans="1:11" x14ac:dyDescent="0.25">
      <c r="A239" s="18" t="str">
        <f xml:space="preserve">  MapNameLkup</f>
        <v>m_ofs_trex_ar_invoices</v>
      </c>
      <c r="B239" s="1" t="s">
        <v>857</v>
      </c>
      <c r="C239" s="1"/>
      <c r="D239" s="1" t="s">
        <v>6</v>
      </c>
      <c r="E239" s="1" t="s">
        <v>915</v>
      </c>
      <c r="F239" s="1"/>
      <c r="G239" s="1" t="s">
        <v>915</v>
      </c>
      <c r="H239" s="1" t="s">
        <v>8</v>
      </c>
      <c r="I239" s="1" t="s">
        <v>41</v>
      </c>
      <c r="J239" s="1"/>
      <c r="K239" s="1" t="s">
        <v>45</v>
      </c>
    </row>
    <row r="240" spans="1:11" x14ac:dyDescent="0.25">
      <c r="A240" s="18" t="str">
        <f xml:space="preserve">  MapNameLkup</f>
        <v>m_ofs_trex_ar_invoices</v>
      </c>
      <c r="B240" s="1" t="s">
        <v>857</v>
      </c>
      <c r="C240" s="1"/>
      <c r="D240" s="1" t="s">
        <v>6</v>
      </c>
      <c r="E240" s="1" t="s">
        <v>916</v>
      </c>
      <c r="F240" s="1"/>
      <c r="G240" s="1" t="s">
        <v>916</v>
      </c>
      <c r="H240" s="1" t="s">
        <v>8</v>
      </c>
      <c r="I240" s="1" t="s">
        <v>41</v>
      </c>
      <c r="J240" s="1"/>
      <c r="K240" s="1" t="s">
        <v>46</v>
      </c>
    </row>
    <row r="241" spans="1:11" x14ac:dyDescent="0.25">
      <c r="A241" s="18" t="str">
        <f xml:space="preserve">  MapNameLkup</f>
        <v>m_ofs_trex_ar_invoices</v>
      </c>
      <c r="B241" s="1" t="s">
        <v>857</v>
      </c>
      <c r="C241" s="1"/>
      <c r="D241" s="1" t="s">
        <v>6</v>
      </c>
      <c r="E241" s="1" t="s">
        <v>146</v>
      </c>
      <c r="F241" s="1"/>
      <c r="G241" s="1" t="s">
        <v>146</v>
      </c>
      <c r="H241" s="1" t="s">
        <v>8</v>
      </c>
      <c r="I241" s="1" t="s">
        <v>41</v>
      </c>
      <c r="J241" s="1"/>
      <c r="K241" s="1" t="s">
        <v>44</v>
      </c>
    </row>
    <row r="242" spans="1:11" x14ac:dyDescent="0.25">
      <c r="A242" s="18" t="str">
        <f xml:space="preserve">  MapNameLkup</f>
        <v>m_ofs_trex_ar_invoices</v>
      </c>
      <c r="B242" s="1" t="s">
        <v>857</v>
      </c>
      <c r="C242" s="1"/>
      <c r="D242" s="1" t="s">
        <v>6</v>
      </c>
      <c r="E242" s="1" t="s">
        <v>147</v>
      </c>
      <c r="F242" s="1"/>
      <c r="G242" s="1" t="s">
        <v>147</v>
      </c>
      <c r="H242" s="1" t="s">
        <v>8</v>
      </c>
      <c r="I242" s="1" t="s">
        <v>41</v>
      </c>
      <c r="J242" s="1"/>
      <c r="K242" s="1" t="s">
        <v>46</v>
      </c>
    </row>
    <row r="243" spans="1:11" x14ac:dyDescent="0.25">
      <c r="A243" s="18" t="str">
        <f xml:space="preserve">  MapNameLkup</f>
        <v>m_ofs_trex_ar_invoices</v>
      </c>
      <c r="B243" s="1" t="s">
        <v>857</v>
      </c>
      <c r="C243" s="1"/>
      <c r="D243" s="1" t="s">
        <v>6</v>
      </c>
      <c r="E243" s="1" t="s">
        <v>879</v>
      </c>
      <c r="F243" s="1"/>
      <c r="G243" s="1" t="s">
        <v>879</v>
      </c>
      <c r="H243" s="1" t="s">
        <v>8</v>
      </c>
      <c r="I243" s="1" t="s">
        <v>41</v>
      </c>
      <c r="J243" s="1"/>
      <c r="K243" s="1" t="s">
        <v>46</v>
      </c>
    </row>
    <row r="244" spans="1:11" x14ac:dyDescent="0.25">
      <c r="A244" s="18" t="str">
        <f xml:space="preserve">  MapNameLkup</f>
        <v>m_ofs_trex_ar_invoices</v>
      </c>
      <c r="B244" s="1" t="s">
        <v>857</v>
      </c>
      <c r="C244" s="1"/>
      <c r="D244" s="1" t="s">
        <v>6</v>
      </c>
      <c r="E244" s="1" t="s">
        <v>880</v>
      </c>
      <c r="F244" s="1"/>
      <c r="G244" s="1" t="s">
        <v>880</v>
      </c>
      <c r="H244" s="1" t="s">
        <v>8</v>
      </c>
      <c r="I244" s="1" t="s">
        <v>41</v>
      </c>
      <c r="J244" s="1"/>
      <c r="K244" s="1" t="s">
        <v>46</v>
      </c>
    </row>
    <row r="245" spans="1:11" x14ac:dyDescent="0.25">
      <c r="A245" s="18" t="str">
        <f xml:space="preserve">  MapNameLkup</f>
        <v>m_ofs_trex_ar_invoices</v>
      </c>
      <c r="B245" s="1" t="s">
        <v>857</v>
      </c>
      <c r="C245" s="1"/>
      <c r="D245" s="1" t="s">
        <v>6</v>
      </c>
      <c r="E245" s="1" t="s">
        <v>866</v>
      </c>
      <c r="F245" s="1"/>
      <c r="G245" s="1" t="s">
        <v>866</v>
      </c>
      <c r="H245" s="1" t="s">
        <v>8</v>
      </c>
      <c r="I245" s="1" t="s">
        <v>41</v>
      </c>
      <c r="J245" s="1"/>
      <c r="K245" s="1" t="s">
        <v>45</v>
      </c>
    </row>
    <row r="246" spans="1:11" ht="409.5" x14ac:dyDescent="0.25">
      <c r="A246" s="18" t="str">
        <f xml:space="preserve">  MapNameLkup</f>
        <v>m_ofs_trex_ar_invoices</v>
      </c>
      <c r="B246" s="1" t="s">
        <v>857</v>
      </c>
      <c r="C246" s="1"/>
      <c r="D246" s="1" t="s">
        <v>6</v>
      </c>
      <c r="E246" s="1" t="s">
        <v>917</v>
      </c>
      <c r="F246" s="1"/>
      <c r="G246" s="3" t="s">
        <v>926</v>
      </c>
      <c r="H246" s="1" t="s">
        <v>8</v>
      </c>
      <c r="I246" s="1" t="s">
        <v>945</v>
      </c>
      <c r="J246" s="1"/>
      <c r="K246" s="1" t="s">
        <v>46</v>
      </c>
    </row>
    <row r="247" spans="1:11" ht="409.5" x14ac:dyDescent="0.25">
      <c r="A247" s="18" t="str">
        <f xml:space="preserve">  MapNameLkup</f>
        <v>m_ofs_trex_ar_invoices</v>
      </c>
      <c r="B247" s="1" t="s">
        <v>857</v>
      </c>
      <c r="C247" s="1"/>
      <c r="D247" s="1" t="s">
        <v>6</v>
      </c>
      <c r="E247" s="1" t="s">
        <v>918</v>
      </c>
      <c r="F247" s="1"/>
      <c r="G247" s="3" t="s">
        <v>927</v>
      </c>
      <c r="H247" s="1" t="s">
        <v>8</v>
      </c>
      <c r="I247" s="1" t="s">
        <v>945</v>
      </c>
      <c r="J247" s="1"/>
      <c r="K247" s="1" t="s">
        <v>46</v>
      </c>
    </row>
    <row r="248" spans="1:11" ht="75" x14ac:dyDescent="0.25">
      <c r="A248" s="18" t="str">
        <f xml:space="preserve">  MapNameLkup</f>
        <v>m_ofs_trex_ar_invoices</v>
      </c>
      <c r="B248" s="1" t="s">
        <v>857</v>
      </c>
      <c r="C248" s="1"/>
      <c r="D248" s="1" t="s">
        <v>6</v>
      </c>
      <c r="E248" s="1" t="s">
        <v>881</v>
      </c>
      <c r="F248" s="1"/>
      <c r="G248" s="3" t="s">
        <v>928</v>
      </c>
      <c r="H248" s="1" t="s">
        <v>8</v>
      </c>
      <c r="I248" s="1" t="s">
        <v>42</v>
      </c>
      <c r="J248" s="1" t="s">
        <v>43</v>
      </c>
      <c r="K248" s="1" t="s">
        <v>46</v>
      </c>
    </row>
    <row r="249" spans="1:11" x14ac:dyDescent="0.25">
      <c r="A249" s="18" t="str">
        <f xml:space="preserve">  MapNameLkup</f>
        <v>m_ofs_trex_ar_invoices</v>
      </c>
      <c r="B249" s="1" t="s">
        <v>858</v>
      </c>
      <c r="C249" s="1"/>
      <c r="D249" s="1" t="s">
        <v>67</v>
      </c>
      <c r="E249" s="1" t="s">
        <v>113</v>
      </c>
      <c r="F249" s="1"/>
      <c r="G249" s="1"/>
      <c r="H249" s="1"/>
      <c r="I249" s="1" t="s">
        <v>946</v>
      </c>
      <c r="J249" s="1"/>
      <c r="K249" s="1" t="s">
        <v>840</v>
      </c>
    </row>
    <row r="250" spans="1:11" x14ac:dyDescent="0.25">
      <c r="A250" s="18" t="str">
        <f xml:space="preserve">  MapNameLkup</f>
        <v>m_ofs_trex_ar_invoices</v>
      </c>
      <c r="B250" s="1" t="s">
        <v>858</v>
      </c>
      <c r="C250" s="1"/>
      <c r="D250" s="1" t="s">
        <v>67</v>
      </c>
      <c r="E250" s="1" t="s">
        <v>919</v>
      </c>
      <c r="F250" s="1"/>
      <c r="G250" s="1"/>
      <c r="H250" s="1"/>
      <c r="I250" s="1" t="s">
        <v>41</v>
      </c>
      <c r="J250" s="1"/>
      <c r="K250" s="1" t="s">
        <v>840</v>
      </c>
    </row>
    <row r="251" spans="1:11" x14ac:dyDescent="0.25">
      <c r="A251" s="18" t="str">
        <f xml:space="preserve">  MapNameLkup</f>
        <v>m_ofs_trex_ar_invoices</v>
      </c>
      <c r="B251" s="1" t="s">
        <v>859</v>
      </c>
      <c r="C251" s="1"/>
      <c r="D251" s="1" t="s">
        <v>6</v>
      </c>
      <c r="E251" s="1" t="s">
        <v>920</v>
      </c>
      <c r="F251" s="1"/>
      <c r="G251" s="1" t="s">
        <v>929</v>
      </c>
      <c r="H251" s="1" t="s">
        <v>8</v>
      </c>
      <c r="I251" s="1" t="s">
        <v>945</v>
      </c>
      <c r="J251" s="1"/>
      <c r="K251" s="1" t="s">
        <v>840</v>
      </c>
    </row>
    <row r="252" spans="1:11" x14ac:dyDescent="0.25">
      <c r="A252" s="18" t="str">
        <f xml:space="preserve">  MapNameLkup</f>
        <v>m_ofs_trex_ar_invoices</v>
      </c>
      <c r="B252" s="1" t="s">
        <v>859</v>
      </c>
      <c r="C252" s="1"/>
      <c r="D252" s="1" t="s">
        <v>6</v>
      </c>
      <c r="E252" s="1" t="s">
        <v>921</v>
      </c>
      <c r="F252" s="1"/>
      <c r="G252" s="1" t="s">
        <v>930</v>
      </c>
      <c r="H252" s="1" t="s">
        <v>8</v>
      </c>
      <c r="I252" s="1" t="s">
        <v>945</v>
      </c>
      <c r="J252" s="1"/>
      <c r="K252" s="1" t="s">
        <v>840</v>
      </c>
    </row>
    <row r="253" spans="1:11" x14ac:dyDescent="0.25">
      <c r="A253" s="18" t="str">
        <f xml:space="preserve">  MapNameLkup</f>
        <v>m_ofs_trex_ar_invoices</v>
      </c>
      <c r="B253" s="1" t="s">
        <v>859</v>
      </c>
      <c r="C253" s="1"/>
      <c r="D253" s="1" t="s">
        <v>6</v>
      </c>
      <c r="E253" s="1" t="s">
        <v>922</v>
      </c>
      <c r="F253" s="1"/>
      <c r="G253" s="1" t="s">
        <v>931</v>
      </c>
      <c r="H253" s="1" t="s">
        <v>8</v>
      </c>
      <c r="I253" s="1" t="s">
        <v>945</v>
      </c>
      <c r="J253" s="1"/>
      <c r="K253" s="1" t="s">
        <v>840</v>
      </c>
    </row>
    <row r="254" spans="1:11" x14ac:dyDescent="0.25">
      <c r="A254" s="18" t="str">
        <f xml:space="preserve">  MapNameLkup</f>
        <v>m_ofs_trex_ar_invoices</v>
      </c>
      <c r="B254" s="1" t="s">
        <v>859</v>
      </c>
      <c r="C254" s="1"/>
      <c r="D254" s="1" t="s">
        <v>6</v>
      </c>
      <c r="E254" s="1" t="s">
        <v>113</v>
      </c>
      <c r="F254" s="1"/>
      <c r="G254" s="1" t="s">
        <v>922</v>
      </c>
      <c r="H254" s="1" t="s">
        <v>8</v>
      </c>
      <c r="I254" s="1" t="s">
        <v>42</v>
      </c>
      <c r="J254" s="1" t="s">
        <v>43</v>
      </c>
      <c r="K254" s="1" t="s">
        <v>840</v>
      </c>
    </row>
    <row r="255" spans="1:11" x14ac:dyDescent="0.25">
      <c r="A255" s="18" t="str">
        <f xml:space="preserve">  MapNameLkup</f>
        <v>m_ofs_trex_ar_invoices</v>
      </c>
      <c r="B255" s="1" t="s">
        <v>859</v>
      </c>
      <c r="C255" s="1"/>
      <c r="D255" s="1" t="s">
        <v>6</v>
      </c>
      <c r="E255" s="1" t="s">
        <v>114</v>
      </c>
      <c r="F255" s="1"/>
      <c r="G255" s="1" t="s">
        <v>932</v>
      </c>
      <c r="H255" s="1" t="s">
        <v>8</v>
      </c>
      <c r="I255" s="1" t="s">
        <v>42</v>
      </c>
      <c r="J255" s="1" t="s">
        <v>43</v>
      </c>
      <c r="K255" s="1" t="s">
        <v>46</v>
      </c>
    </row>
    <row r="256" spans="1:11" x14ac:dyDescent="0.25">
      <c r="A256" s="18" t="str">
        <f xml:space="preserve">  MapNameLkup</f>
        <v>m_ofs_trex_ar_invoices</v>
      </c>
      <c r="B256" s="1" t="s">
        <v>859</v>
      </c>
      <c r="C256" s="1"/>
      <c r="D256" s="1" t="s">
        <v>6</v>
      </c>
      <c r="E256" s="1" t="s">
        <v>115</v>
      </c>
      <c r="F256" s="1"/>
      <c r="G256" s="1" t="s">
        <v>115</v>
      </c>
      <c r="H256" s="1" t="s">
        <v>8</v>
      </c>
      <c r="I256" s="1" t="s">
        <v>41</v>
      </c>
      <c r="J256" s="1"/>
      <c r="K256" s="1" t="s">
        <v>46</v>
      </c>
    </row>
    <row r="257" spans="1:11" x14ac:dyDescent="0.25">
      <c r="A257" s="18" t="str">
        <f xml:space="preserve">  MapNameLkup</f>
        <v>m_ofs_trex_ar_invoices</v>
      </c>
      <c r="B257" s="1" t="s">
        <v>859</v>
      </c>
      <c r="C257" s="1"/>
      <c r="D257" s="1" t="s">
        <v>6</v>
      </c>
      <c r="E257" s="1" t="s">
        <v>116</v>
      </c>
      <c r="F257" s="1"/>
      <c r="G257" s="1" t="s">
        <v>116</v>
      </c>
      <c r="H257" s="1" t="s">
        <v>8</v>
      </c>
      <c r="I257" s="1" t="s">
        <v>41</v>
      </c>
      <c r="J257" s="1"/>
      <c r="K257" s="1" t="s">
        <v>46</v>
      </c>
    </row>
    <row r="258" spans="1:11" x14ac:dyDescent="0.25">
      <c r="A258" s="18" t="str">
        <f xml:space="preserve">  MapNameLkup</f>
        <v>m_ofs_trex_ar_invoices</v>
      </c>
      <c r="B258" s="1" t="s">
        <v>859</v>
      </c>
      <c r="C258" s="1"/>
      <c r="D258" s="1" t="s">
        <v>6</v>
      </c>
      <c r="E258" s="1" t="s">
        <v>117</v>
      </c>
      <c r="F258" s="1"/>
      <c r="G258" s="1" t="s">
        <v>117</v>
      </c>
      <c r="H258" s="1" t="s">
        <v>8</v>
      </c>
      <c r="I258" s="1" t="s">
        <v>41</v>
      </c>
      <c r="J258" s="1"/>
      <c r="K258" s="1" t="s">
        <v>947</v>
      </c>
    </row>
    <row r="259" spans="1:11" x14ac:dyDescent="0.25">
      <c r="A259" s="18" t="str">
        <f xml:space="preserve">  MapNameLkup</f>
        <v>m_ofs_trex_ar_invoices</v>
      </c>
      <c r="B259" s="1" t="s">
        <v>859</v>
      </c>
      <c r="C259" s="1"/>
      <c r="D259" s="1" t="s">
        <v>6</v>
      </c>
      <c r="E259" s="1" t="s">
        <v>870</v>
      </c>
      <c r="F259" s="1"/>
      <c r="G259" s="1" t="s">
        <v>933</v>
      </c>
      <c r="H259" s="1" t="s">
        <v>8</v>
      </c>
      <c r="I259" s="1" t="s">
        <v>42</v>
      </c>
      <c r="J259" s="1" t="s">
        <v>43</v>
      </c>
      <c r="K259" s="1" t="s">
        <v>44</v>
      </c>
    </row>
    <row r="260" spans="1:11" x14ac:dyDescent="0.25">
      <c r="A260" s="18" t="str">
        <f xml:space="preserve">  MapNameLkup</f>
        <v>m_ofs_trex_ar_invoices</v>
      </c>
      <c r="B260" s="1" t="s">
        <v>859</v>
      </c>
      <c r="C260" s="1"/>
      <c r="D260" s="1" t="s">
        <v>6</v>
      </c>
      <c r="E260" s="1" t="s">
        <v>118</v>
      </c>
      <c r="F260" s="1"/>
      <c r="G260" s="1" t="s">
        <v>118</v>
      </c>
      <c r="H260" s="1" t="s">
        <v>8</v>
      </c>
      <c r="I260" s="1" t="s">
        <v>41</v>
      </c>
      <c r="J260" s="1"/>
      <c r="K260" s="1" t="s">
        <v>947</v>
      </c>
    </row>
    <row r="261" spans="1:11" x14ac:dyDescent="0.25">
      <c r="A261" s="18" t="str">
        <f xml:space="preserve">  MapNameLkup</f>
        <v>m_ofs_trex_ar_invoices</v>
      </c>
      <c r="B261" s="1" t="s">
        <v>859</v>
      </c>
      <c r="C261" s="1"/>
      <c r="D261" s="1" t="s">
        <v>6</v>
      </c>
      <c r="E261" s="1" t="s">
        <v>871</v>
      </c>
      <c r="F261" s="1"/>
      <c r="G261" s="1" t="s">
        <v>934</v>
      </c>
      <c r="H261" s="1" t="s">
        <v>8</v>
      </c>
      <c r="I261" s="1" t="s">
        <v>42</v>
      </c>
      <c r="J261" s="1" t="s">
        <v>43</v>
      </c>
      <c r="K261" s="1" t="s">
        <v>44</v>
      </c>
    </row>
    <row r="262" spans="1:11" x14ac:dyDescent="0.25">
      <c r="A262" s="18" t="str">
        <f xml:space="preserve">  MapNameLkup</f>
        <v>m_ofs_trex_ar_invoices</v>
      </c>
      <c r="B262" s="1" t="s">
        <v>859</v>
      </c>
      <c r="C262" s="1"/>
      <c r="D262" s="1" t="s">
        <v>6</v>
      </c>
      <c r="E262" s="1" t="s">
        <v>119</v>
      </c>
      <c r="F262" s="1"/>
      <c r="G262" s="1" t="s">
        <v>119</v>
      </c>
      <c r="H262" s="1" t="s">
        <v>8</v>
      </c>
      <c r="I262" s="1" t="s">
        <v>41</v>
      </c>
      <c r="J262" s="1"/>
      <c r="K262" s="1" t="s">
        <v>46</v>
      </c>
    </row>
    <row r="263" spans="1:11" x14ac:dyDescent="0.25">
      <c r="A263" s="18" t="str">
        <f xml:space="preserve">  MapNameLkup</f>
        <v>m_ofs_trex_ar_invoices</v>
      </c>
      <c r="B263" s="1" t="s">
        <v>859</v>
      </c>
      <c r="C263" s="1"/>
      <c r="D263" s="1" t="s">
        <v>6</v>
      </c>
      <c r="E263" s="1" t="s">
        <v>120</v>
      </c>
      <c r="F263" s="1"/>
      <c r="G263" s="1" t="s">
        <v>120</v>
      </c>
      <c r="H263" s="1" t="s">
        <v>8</v>
      </c>
      <c r="I263" s="1" t="s">
        <v>41</v>
      </c>
      <c r="J263" s="1"/>
      <c r="K263" s="1" t="s">
        <v>46</v>
      </c>
    </row>
    <row r="264" spans="1:11" x14ac:dyDescent="0.25">
      <c r="A264" s="18" t="str">
        <f xml:space="preserve">  MapNameLkup</f>
        <v>m_ofs_trex_ar_invoices</v>
      </c>
      <c r="B264" s="1" t="s">
        <v>859</v>
      </c>
      <c r="C264" s="1"/>
      <c r="D264" s="1" t="s">
        <v>6</v>
      </c>
      <c r="E264" s="1" t="s">
        <v>121</v>
      </c>
      <c r="F264" s="1"/>
      <c r="G264" s="1" t="s">
        <v>121</v>
      </c>
      <c r="H264" s="1" t="s">
        <v>8</v>
      </c>
      <c r="I264" s="1" t="s">
        <v>41</v>
      </c>
      <c r="J264" s="1"/>
      <c r="K264" s="1" t="s">
        <v>46</v>
      </c>
    </row>
    <row r="265" spans="1:11" x14ac:dyDescent="0.25">
      <c r="A265" s="18" t="str">
        <f xml:space="preserve">  MapNameLkup</f>
        <v>m_ofs_trex_ar_invoices</v>
      </c>
      <c r="B265" s="1" t="s">
        <v>859</v>
      </c>
      <c r="C265" s="1"/>
      <c r="D265" s="1" t="s">
        <v>6</v>
      </c>
      <c r="E265" s="1" t="s">
        <v>122</v>
      </c>
      <c r="F265" s="1"/>
      <c r="G265" s="1" t="s">
        <v>122</v>
      </c>
      <c r="H265" s="1" t="s">
        <v>8</v>
      </c>
      <c r="I265" s="1" t="s">
        <v>41</v>
      </c>
      <c r="J265" s="1"/>
      <c r="K265" s="1" t="s">
        <v>46</v>
      </c>
    </row>
    <row r="266" spans="1:11" x14ac:dyDescent="0.25">
      <c r="A266" s="18" t="str">
        <f xml:space="preserve">  MapNameLkup</f>
        <v>m_ofs_trex_ar_invoices</v>
      </c>
      <c r="B266" s="1" t="s">
        <v>859</v>
      </c>
      <c r="C266" s="1"/>
      <c r="D266" s="1" t="s">
        <v>6</v>
      </c>
      <c r="E266" s="1" t="s">
        <v>123</v>
      </c>
      <c r="F266" s="1"/>
      <c r="G266" s="1" t="s">
        <v>123</v>
      </c>
      <c r="H266" s="1" t="s">
        <v>8</v>
      </c>
      <c r="I266" s="1" t="s">
        <v>41</v>
      </c>
      <c r="J266" s="1"/>
      <c r="K266" s="1" t="s">
        <v>947</v>
      </c>
    </row>
    <row r="267" spans="1:11" x14ac:dyDescent="0.25">
      <c r="A267" s="18" t="str">
        <f xml:space="preserve">  MapNameLkup</f>
        <v>m_ofs_trex_ar_invoices</v>
      </c>
      <c r="B267" s="1" t="s">
        <v>859</v>
      </c>
      <c r="C267" s="1"/>
      <c r="D267" s="1" t="s">
        <v>6</v>
      </c>
      <c r="E267" s="1" t="s">
        <v>872</v>
      </c>
      <c r="F267" s="1"/>
      <c r="G267" s="1" t="s">
        <v>935</v>
      </c>
      <c r="H267" s="1" t="s">
        <v>8</v>
      </c>
      <c r="I267" s="1" t="s">
        <v>42</v>
      </c>
      <c r="J267" s="1" t="s">
        <v>43</v>
      </c>
      <c r="K267" s="1" t="s">
        <v>44</v>
      </c>
    </row>
    <row r="268" spans="1:11" x14ac:dyDescent="0.25">
      <c r="A268" s="18" t="str">
        <f xml:space="preserve">  MapNameLkup</f>
        <v>m_ofs_trex_ar_invoices</v>
      </c>
      <c r="B268" s="1" t="s">
        <v>859</v>
      </c>
      <c r="C268" s="1"/>
      <c r="D268" s="1" t="s">
        <v>6</v>
      </c>
      <c r="E268" s="1" t="s">
        <v>124</v>
      </c>
      <c r="F268" s="1"/>
      <c r="G268" s="1" t="s">
        <v>124</v>
      </c>
      <c r="H268" s="1" t="s">
        <v>8</v>
      </c>
      <c r="I268" s="1" t="s">
        <v>41</v>
      </c>
      <c r="J268" s="1"/>
      <c r="K268" s="1" t="s">
        <v>46</v>
      </c>
    </row>
    <row r="269" spans="1:11" x14ac:dyDescent="0.25">
      <c r="A269" s="18" t="str">
        <f xml:space="preserve">  MapNameLkup</f>
        <v>m_ofs_trex_ar_invoices</v>
      </c>
      <c r="B269" s="1" t="s">
        <v>859</v>
      </c>
      <c r="C269" s="1"/>
      <c r="D269" s="1" t="s">
        <v>6</v>
      </c>
      <c r="E269" s="1" t="s">
        <v>125</v>
      </c>
      <c r="F269" s="1"/>
      <c r="G269" s="1" t="s">
        <v>125</v>
      </c>
      <c r="H269" s="1" t="s">
        <v>8</v>
      </c>
      <c r="I269" s="1" t="s">
        <v>41</v>
      </c>
      <c r="J269" s="1"/>
      <c r="K269" s="1" t="s">
        <v>46</v>
      </c>
    </row>
    <row r="270" spans="1:11" x14ac:dyDescent="0.25">
      <c r="A270" s="18" t="str">
        <f xml:space="preserve">  MapNameLkup</f>
        <v>m_ofs_trex_ar_invoices</v>
      </c>
      <c r="B270" s="1" t="s">
        <v>859</v>
      </c>
      <c r="C270" s="1"/>
      <c r="D270" s="1" t="s">
        <v>6</v>
      </c>
      <c r="E270" s="1" t="s">
        <v>126</v>
      </c>
      <c r="F270" s="1"/>
      <c r="G270" s="1" t="s">
        <v>126</v>
      </c>
      <c r="H270" s="1" t="s">
        <v>8</v>
      </c>
      <c r="I270" s="1" t="s">
        <v>41</v>
      </c>
      <c r="J270" s="1"/>
      <c r="K270" s="1" t="s">
        <v>46</v>
      </c>
    </row>
    <row r="271" spans="1:11" x14ac:dyDescent="0.25">
      <c r="A271" s="18" t="str">
        <f xml:space="preserve">  MapNameLkup</f>
        <v>m_ofs_trex_ar_invoices</v>
      </c>
      <c r="B271" s="1" t="s">
        <v>859</v>
      </c>
      <c r="C271" s="1"/>
      <c r="D271" s="1" t="s">
        <v>6</v>
      </c>
      <c r="E271" s="1" t="s">
        <v>127</v>
      </c>
      <c r="F271" s="1"/>
      <c r="G271" s="1" t="s">
        <v>127</v>
      </c>
      <c r="H271" s="1" t="s">
        <v>8</v>
      </c>
      <c r="I271" s="1" t="s">
        <v>41</v>
      </c>
      <c r="J271" s="1"/>
      <c r="K271" s="1" t="s">
        <v>45</v>
      </c>
    </row>
    <row r="272" spans="1:11" x14ac:dyDescent="0.25">
      <c r="A272" s="18" t="str">
        <f xml:space="preserve">  MapNameLkup</f>
        <v>m_ofs_trex_ar_invoices</v>
      </c>
      <c r="B272" s="1" t="s">
        <v>859</v>
      </c>
      <c r="C272" s="1"/>
      <c r="D272" s="1" t="s">
        <v>6</v>
      </c>
      <c r="E272" s="1" t="s">
        <v>128</v>
      </c>
      <c r="F272" s="1"/>
      <c r="G272" s="1" t="s">
        <v>128</v>
      </c>
      <c r="H272" s="1" t="s">
        <v>8</v>
      </c>
      <c r="I272" s="1" t="s">
        <v>41</v>
      </c>
      <c r="J272" s="1"/>
      <c r="K272" s="1" t="s">
        <v>45</v>
      </c>
    </row>
    <row r="273" spans="1:11" x14ac:dyDescent="0.25">
      <c r="A273" s="18" t="str">
        <f xml:space="preserve">  MapNameLkup</f>
        <v>m_ofs_trex_ar_invoices</v>
      </c>
      <c r="B273" s="1" t="s">
        <v>859</v>
      </c>
      <c r="C273" s="1"/>
      <c r="D273" s="1" t="s">
        <v>6</v>
      </c>
      <c r="E273" s="1" t="s">
        <v>129</v>
      </c>
      <c r="F273" s="1"/>
      <c r="G273" s="1" t="s">
        <v>129</v>
      </c>
      <c r="H273" s="1" t="s">
        <v>8</v>
      </c>
      <c r="I273" s="1" t="s">
        <v>41</v>
      </c>
      <c r="J273" s="1"/>
      <c r="K273" s="1" t="s">
        <v>46</v>
      </c>
    </row>
    <row r="274" spans="1:11" x14ac:dyDescent="0.25">
      <c r="A274" s="18" t="str">
        <f xml:space="preserve">  MapNameLkup</f>
        <v>m_ofs_trex_ar_invoices</v>
      </c>
      <c r="B274" s="1" t="s">
        <v>859</v>
      </c>
      <c r="C274" s="1"/>
      <c r="D274" s="1" t="s">
        <v>6</v>
      </c>
      <c r="E274" s="1" t="s">
        <v>130</v>
      </c>
      <c r="F274" s="1"/>
      <c r="G274" s="1" t="s">
        <v>130</v>
      </c>
      <c r="H274" s="1" t="s">
        <v>8</v>
      </c>
      <c r="I274" s="1" t="s">
        <v>41</v>
      </c>
      <c r="J274" s="1"/>
      <c r="K274" s="1" t="s">
        <v>46</v>
      </c>
    </row>
    <row r="275" spans="1:11" x14ac:dyDescent="0.25">
      <c r="A275" s="18" t="str">
        <f xml:space="preserve">  MapNameLkup</f>
        <v>m_ofs_trex_ar_invoices</v>
      </c>
      <c r="B275" s="1" t="s">
        <v>859</v>
      </c>
      <c r="C275" s="1"/>
      <c r="D275" s="1" t="s">
        <v>6</v>
      </c>
      <c r="E275" s="1" t="s">
        <v>131</v>
      </c>
      <c r="F275" s="1"/>
      <c r="G275" s="1" t="s">
        <v>131</v>
      </c>
      <c r="H275" s="1" t="s">
        <v>8</v>
      </c>
      <c r="I275" s="1" t="s">
        <v>41</v>
      </c>
      <c r="J275" s="1"/>
      <c r="K275" s="1" t="s">
        <v>47</v>
      </c>
    </row>
    <row r="276" spans="1:11" x14ac:dyDescent="0.25">
      <c r="A276" s="18" t="str">
        <f xml:space="preserve">  MapNameLkup</f>
        <v>m_ofs_trex_ar_invoices</v>
      </c>
      <c r="B276" s="1" t="s">
        <v>859</v>
      </c>
      <c r="C276" s="1"/>
      <c r="D276" s="1" t="s">
        <v>6</v>
      </c>
      <c r="E276" s="1" t="s">
        <v>873</v>
      </c>
      <c r="F276" s="1"/>
      <c r="G276" s="1" t="s">
        <v>936</v>
      </c>
      <c r="H276" s="1" t="s">
        <v>8</v>
      </c>
      <c r="I276" s="1" t="s">
        <v>42</v>
      </c>
      <c r="J276" s="1" t="s">
        <v>43</v>
      </c>
      <c r="K276" s="1" t="s">
        <v>947</v>
      </c>
    </row>
    <row r="277" spans="1:11" x14ac:dyDescent="0.25">
      <c r="A277" s="18" t="str">
        <f xml:space="preserve">  MapNameLkup</f>
        <v>m_ofs_trex_ar_invoices</v>
      </c>
      <c r="B277" s="1" t="s">
        <v>859</v>
      </c>
      <c r="C277" s="1"/>
      <c r="D277" s="1" t="s">
        <v>6</v>
      </c>
      <c r="E277" s="1" t="s">
        <v>132</v>
      </c>
      <c r="F277" s="1"/>
      <c r="G277" s="1" t="s">
        <v>132</v>
      </c>
      <c r="H277" s="1" t="s">
        <v>8</v>
      </c>
      <c r="I277" s="1" t="s">
        <v>41</v>
      </c>
      <c r="J277" s="1"/>
      <c r="K277" s="1" t="s">
        <v>47</v>
      </c>
    </row>
    <row r="278" spans="1:11" x14ac:dyDescent="0.25">
      <c r="A278" s="18" t="str">
        <f xml:space="preserve">  MapNameLkup</f>
        <v>m_ofs_trex_ar_invoices</v>
      </c>
      <c r="B278" s="1" t="s">
        <v>859</v>
      </c>
      <c r="C278" s="1"/>
      <c r="D278" s="1" t="s">
        <v>6</v>
      </c>
      <c r="E278" s="1" t="s">
        <v>874</v>
      </c>
      <c r="F278" s="1"/>
      <c r="G278" s="1" t="s">
        <v>937</v>
      </c>
      <c r="H278" s="1" t="s">
        <v>8</v>
      </c>
      <c r="I278" s="1" t="s">
        <v>42</v>
      </c>
      <c r="J278" s="1" t="s">
        <v>43</v>
      </c>
      <c r="K278" s="1" t="s">
        <v>947</v>
      </c>
    </row>
    <row r="279" spans="1:11" x14ac:dyDescent="0.25">
      <c r="A279" s="18" t="str">
        <f xml:space="preserve">  MapNameLkup</f>
        <v>m_ofs_trex_ar_invoices</v>
      </c>
      <c r="B279" s="1" t="s">
        <v>859</v>
      </c>
      <c r="C279" s="1"/>
      <c r="D279" s="1" t="s">
        <v>6</v>
      </c>
      <c r="E279" s="1" t="s">
        <v>133</v>
      </c>
      <c r="F279" s="1"/>
      <c r="G279" s="1" t="s">
        <v>133</v>
      </c>
      <c r="H279" s="1" t="s">
        <v>8</v>
      </c>
      <c r="I279" s="1" t="s">
        <v>41</v>
      </c>
      <c r="J279" s="1"/>
      <c r="K279" s="1" t="s">
        <v>47</v>
      </c>
    </row>
    <row r="280" spans="1:11" x14ac:dyDescent="0.25">
      <c r="A280" s="18" t="str">
        <f xml:space="preserve">  MapNameLkup</f>
        <v>m_ofs_trex_ar_invoices</v>
      </c>
      <c r="B280" s="1" t="s">
        <v>859</v>
      </c>
      <c r="C280" s="1"/>
      <c r="D280" s="1" t="s">
        <v>6</v>
      </c>
      <c r="E280" s="1" t="s">
        <v>875</v>
      </c>
      <c r="F280" s="1"/>
      <c r="G280" s="1" t="s">
        <v>938</v>
      </c>
      <c r="H280" s="1" t="s">
        <v>8</v>
      </c>
      <c r="I280" s="1" t="s">
        <v>42</v>
      </c>
      <c r="J280" s="1" t="s">
        <v>43</v>
      </c>
      <c r="K280" s="1" t="s">
        <v>947</v>
      </c>
    </row>
    <row r="281" spans="1:11" x14ac:dyDescent="0.25">
      <c r="A281" s="18" t="str">
        <f xml:space="preserve">  MapNameLkup</f>
        <v>m_ofs_trex_ar_invoices</v>
      </c>
      <c r="B281" s="1" t="s">
        <v>859</v>
      </c>
      <c r="C281" s="1"/>
      <c r="D281" s="1" t="s">
        <v>6</v>
      </c>
      <c r="E281" s="1" t="s">
        <v>134</v>
      </c>
      <c r="F281" s="1"/>
      <c r="G281" s="1" t="s">
        <v>134</v>
      </c>
      <c r="H281" s="1" t="s">
        <v>8</v>
      </c>
      <c r="I281" s="1" t="s">
        <v>41</v>
      </c>
      <c r="J281" s="1"/>
      <c r="K281" s="1" t="s">
        <v>47</v>
      </c>
    </row>
    <row r="282" spans="1:11" x14ac:dyDescent="0.25">
      <c r="A282" s="18" t="str">
        <f xml:space="preserve">  MapNameLkup</f>
        <v>m_ofs_trex_ar_invoices</v>
      </c>
      <c r="B282" s="1" t="s">
        <v>859</v>
      </c>
      <c r="C282" s="1"/>
      <c r="D282" s="1" t="s">
        <v>6</v>
      </c>
      <c r="E282" s="1" t="s">
        <v>876</v>
      </c>
      <c r="F282" s="1"/>
      <c r="G282" s="1" t="s">
        <v>939</v>
      </c>
      <c r="H282" s="1" t="s">
        <v>8</v>
      </c>
      <c r="I282" s="1" t="s">
        <v>42</v>
      </c>
      <c r="J282" s="1" t="s">
        <v>43</v>
      </c>
      <c r="K282" s="1" t="s">
        <v>947</v>
      </c>
    </row>
    <row r="283" spans="1:11" x14ac:dyDescent="0.25">
      <c r="A283" s="18" t="str">
        <f xml:space="preserve">  MapNameLkup</f>
        <v>m_ofs_trex_ar_invoices</v>
      </c>
      <c r="B283" s="1" t="s">
        <v>859</v>
      </c>
      <c r="C283" s="1"/>
      <c r="D283" s="1" t="s">
        <v>6</v>
      </c>
      <c r="E283" s="1" t="s">
        <v>135</v>
      </c>
      <c r="F283" s="1"/>
      <c r="G283" s="1" t="s">
        <v>135</v>
      </c>
      <c r="H283" s="1" t="s">
        <v>8</v>
      </c>
      <c r="I283" s="1" t="s">
        <v>41</v>
      </c>
      <c r="J283" s="1"/>
      <c r="K283" s="1" t="s">
        <v>47</v>
      </c>
    </row>
    <row r="284" spans="1:11" x14ac:dyDescent="0.25">
      <c r="A284" s="18" t="str">
        <f xml:space="preserve">  MapNameLkup</f>
        <v>m_ofs_trex_ar_invoices</v>
      </c>
      <c r="B284" s="1" t="s">
        <v>859</v>
      </c>
      <c r="C284" s="1"/>
      <c r="D284" s="1" t="s">
        <v>6</v>
      </c>
      <c r="E284" s="1" t="s">
        <v>877</v>
      </c>
      <c r="F284" s="1"/>
      <c r="G284" s="1" t="s">
        <v>940</v>
      </c>
      <c r="H284" s="1" t="s">
        <v>8</v>
      </c>
      <c r="I284" s="1" t="s">
        <v>42</v>
      </c>
      <c r="J284" s="1" t="s">
        <v>43</v>
      </c>
      <c r="K284" s="1" t="s">
        <v>947</v>
      </c>
    </row>
    <row r="285" spans="1:11" x14ac:dyDescent="0.25">
      <c r="A285" s="18" t="str">
        <f xml:space="preserve">  MapNameLkup</f>
        <v>m_ofs_trex_ar_invoices</v>
      </c>
      <c r="B285" s="1" t="s">
        <v>859</v>
      </c>
      <c r="C285" s="1"/>
      <c r="D285" s="1" t="s">
        <v>6</v>
      </c>
      <c r="E285" s="1" t="s">
        <v>136</v>
      </c>
      <c r="F285" s="1"/>
      <c r="G285" s="1" t="s">
        <v>136</v>
      </c>
      <c r="H285" s="1" t="s">
        <v>8</v>
      </c>
      <c r="I285" s="1" t="s">
        <v>41</v>
      </c>
      <c r="J285" s="1"/>
      <c r="K285" s="1" t="s">
        <v>47</v>
      </c>
    </row>
    <row r="286" spans="1:11" x14ac:dyDescent="0.25">
      <c r="A286" s="18" t="str">
        <f xml:space="preserve">  MapNameLkup</f>
        <v>m_ofs_trex_ar_invoices</v>
      </c>
      <c r="B286" s="1" t="s">
        <v>859</v>
      </c>
      <c r="C286" s="1"/>
      <c r="D286" s="1" t="s">
        <v>6</v>
      </c>
      <c r="E286" s="1" t="s">
        <v>878</v>
      </c>
      <c r="F286" s="1"/>
      <c r="G286" s="1" t="s">
        <v>941</v>
      </c>
      <c r="H286" s="1" t="s">
        <v>8</v>
      </c>
      <c r="I286" s="1" t="s">
        <v>42</v>
      </c>
      <c r="J286" s="1" t="s">
        <v>43</v>
      </c>
      <c r="K286" s="1" t="s">
        <v>947</v>
      </c>
    </row>
    <row r="287" spans="1:11" x14ac:dyDescent="0.25">
      <c r="A287" s="18" t="str">
        <f xml:space="preserve">  MapNameLkup</f>
        <v>m_ofs_trex_ar_invoices</v>
      </c>
      <c r="B287" s="1" t="s">
        <v>859</v>
      </c>
      <c r="C287" s="1"/>
      <c r="D287" s="1" t="s">
        <v>6</v>
      </c>
      <c r="E287" s="1" t="s">
        <v>137</v>
      </c>
      <c r="F287" s="1"/>
      <c r="G287" s="1" t="s">
        <v>137</v>
      </c>
      <c r="H287" s="1" t="s">
        <v>8</v>
      </c>
      <c r="I287" s="1" t="s">
        <v>41</v>
      </c>
      <c r="J287" s="1"/>
      <c r="K287" s="1" t="s">
        <v>46</v>
      </c>
    </row>
    <row r="288" spans="1:11" x14ac:dyDescent="0.25">
      <c r="A288" s="18" t="str">
        <f xml:space="preserve">  MapNameLkup</f>
        <v>m_ofs_trex_ar_invoices</v>
      </c>
      <c r="B288" s="1" t="s">
        <v>859</v>
      </c>
      <c r="C288" s="1"/>
      <c r="D288" s="1" t="s">
        <v>6</v>
      </c>
      <c r="E288" s="1" t="s">
        <v>138</v>
      </c>
      <c r="F288" s="1"/>
      <c r="G288" s="1" t="s">
        <v>138</v>
      </c>
      <c r="H288" s="1" t="s">
        <v>8</v>
      </c>
      <c r="I288" s="1" t="s">
        <v>41</v>
      </c>
      <c r="J288" s="1"/>
      <c r="K288" s="1" t="s">
        <v>46</v>
      </c>
    </row>
    <row r="289" spans="1:11" x14ac:dyDescent="0.25">
      <c r="A289" s="18" t="str">
        <f xml:space="preserve">  MapNameLkup</f>
        <v>m_ofs_trex_ar_invoices</v>
      </c>
      <c r="B289" s="1" t="s">
        <v>859</v>
      </c>
      <c r="C289" s="1"/>
      <c r="D289" s="1" t="s">
        <v>6</v>
      </c>
      <c r="E289" s="1" t="s">
        <v>139</v>
      </c>
      <c r="F289" s="1"/>
      <c r="G289" s="1" t="s">
        <v>139</v>
      </c>
      <c r="H289" s="1" t="s">
        <v>8</v>
      </c>
      <c r="I289" s="1" t="s">
        <v>41</v>
      </c>
      <c r="J289" s="1"/>
      <c r="K289" s="1" t="s">
        <v>46</v>
      </c>
    </row>
    <row r="290" spans="1:11" x14ac:dyDescent="0.25">
      <c r="A290" s="18" t="str">
        <f xml:space="preserve">  MapNameLkup</f>
        <v>m_ofs_trex_ar_invoices</v>
      </c>
      <c r="B290" s="1" t="s">
        <v>859</v>
      </c>
      <c r="C290" s="1"/>
      <c r="D290" s="1" t="s">
        <v>6</v>
      </c>
      <c r="E290" s="1" t="s">
        <v>140</v>
      </c>
      <c r="F290" s="1"/>
      <c r="G290" s="1" t="s">
        <v>140</v>
      </c>
      <c r="H290" s="1" t="s">
        <v>8</v>
      </c>
      <c r="I290" s="1" t="s">
        <v>41</v>
      </c>
      <c r="J290" s="1"/>
      <c r="K290" s="1" t="s">
        <v>46</v>
      </c>
    </row>
    <row r="291" spans="1:11" x14ac:dyDescent="0.25">
      <c r="A291" s="18" t="str">
        <f xml:space="preserve">  MapNameLkup</f>
        <v>m_ofs_trex_ar_invoices</v>
      </c>
      <c r="B291" s="1" t="s">
        <v>859</v>
      </c>
      <c r="C291" s="1"/>
      <c r="D291" s="1" t="s">
        <v>6</v>
      </c>
      <c r="E291" s="1" t="s">
        <v>141</v>
      </c>
      <c r="F291" s="1"/>
      <c r="G291" s="1" t="s">
        <v>141</v>
      </c>
      <c r="H291" s="1" t="s">
        <v>8</v>
      </c>
      <c r="I291" s="1" t="s">
        <v>41</v>
      </c>
      <c r="J291" s="1"/>
      <c r="K291" s="1" t="s">
        <v>46</v>
      </c>
    </row>
    <row r="292" spans="1:11" x14ac:dyDescent="0.25">
      <c r="A292" s="18" t="str">
        <f xml:space="preserve">  MapNameLkup</f>
        <v>m_ofs_trex_ar_invoices</v>
      </c>
      <c r="B292" s="1" t="s">
        <v>859</v>
      </c>
      <c r="C292" s="1"/>
      <c r="D292" s="1" t="s">
        <v>6</v>
      </c>
      <c r="E292" s="1" t="s">
        <v>142</v>
      </c>
      <c r="F292" s="1"/>
      <c r="G292" s="1" t="s">
        <v>142</v>
      </c>
      <c r="H292" s="1" t="s">
        <v>8</v>
      </c>
      <c r="I292" s="1" t="s">
        <v>41</v>
      </c>
      <c r="J292" s="1"/>
      <c r="K292" s="1" t="s">
        <v>45</v>
      </c>
    </row>
    <row r="293" spans="1:11" x14ac:dyDescent="0.25">
      <c r="A293" s="18" t="str">
        <f xml:space="preserve">  MapNameLkup</f>
        <v>m_ofs_trex_ar_invoices</v>
      </c>
      <c r="B293" s="1" t="s">
        <v>859</v>
      </c>
      <c r="C293" s="1"/>
      <c r="D293" s="1" t="s">
        <v>6</v>
      </c>
      <c r="E293" s="1" t="s">
        <v>143</v>
      </c>
      <c r="F293" s="1"/>
      <c r="G293" s="1" t="s">
        <v>143</v>
      </c>
      <c r="H293" s="1" t="s">
        <v>8</v>
      </c>
      <c r="I293" s="1" t="s">
        <v>41</v>
      </c>
      <c r="J293" s="1"/>
      <c r="K293" s="1" t="s">
        <v>45</v>
      </c>
    </row>
    <row r="294" spans="1:11" x14ac:dyDescent="0.25">
      <c r="A294" s="18" t="str">
        <f xml:space="preserve">  MapNameLkup</f>
        <v>m_ofs_trex_ar_invoices</v>
      </c>
      <c r="B294" s="1" t="s">
        <v>859</v>
      </c>
      <c r="C294" s="1"/>
      <c r="D294" s="1" t="s">
        <v>6</v>
      </c>
      <c r="E294" s="1" t="s">
        <v>144</v>
      </c>
      <c r="F294" s="1"/>
      <c r="G294" s="1" t="s">
        <v>144</v>
      </c>
      <c r="H294" s="1" t="s">
        <v>8</v>
      </c>
      <c r="I294" s="1" t="s">
        <v>41</v>
      </c>
      <c r="J294" s="1"/>
      <c r="K294" s="1" t="s">
        <v>45</v>
      </c>
    </row>
    <row r="295" spans="1:11" x14ac:dyDescent="0.25">
      <c r="A295" s="18" t="str">
        <f xml:space="preserve">  MapNameLkup</f>
        <v>m_ofs_trex_ar_invoices</v>
      </c>
      <c r="B295" s="1" t="s">
        <v>859</v>
      </c>
      <c r="C295" s="1"/>
      <c r="D295" s="1" t="s">
        <v>6</v>
      </c>
      <c r="E295" s="1" t="s">
        <v>145</v>
      </c>
      <c r="F295" s="1"/>
      <c r="G295" s="1" t="s">
        <v>145</v>
      </c>
      <c r="H295" s="1" t="s">
        <v>8</v>
      </c>
      <c r="I295" s="1" t="s">
        <v>41</v>
      </c>
      <c r="J295" s="1"/>
      <c r="K295" s="1" t="s">
        <v>45</v>
      </c>
    </row>
    <row r="296" spans="1:11" x14ac:dyDescent="0.25">
      <c r="A296" s="18" t="str">
        <f xml:space="preserve">  MapNameLkup</f>
        <v>m_ofs_trex_ar_invoices</v>
      </c>
      <c r="B296" s="1" t="s">
        <v>859</v>
      </c>
      <c r="C296" s="1"/>
      <c r="D296" s="1" t="s">
        <v>6</v>
      </c>
      <c r="E296" s="1" t="s">
        <v>146</v>
      </c>
      <c r="F296" s="1"/>
      <c r="G296" s="1" t="s">
        <v>942</v>
      </c>
      <c r="H296" s="1" t="s">
        <v>8</v>
      </c>
      <c r="I296" s="1" t="s">
        <v>42</v>
      </c>
      <c r="J296" s="1" t="s">
        <v>43</v>
      </c>
      <c r="K296" s="1" t="s">
        <v>44</v>
      </c>
    </row>
    <row r="297" spans="1:11" x14ac:dyDescent="0.25">
      <c r="A297" s="18" t="str">
        <f xml:space="preserve">  MapNameLkup</f>
        <v>m_ofs_trex_ar_invoices</v>
      </c>
      <c r="B297" s="1" t="s">
        <v>859</v>
      </c>
      <c r="C297" s="1"/>
      <c r="D297" s="1" t="s">
        <v>6</v>
      </c>
      <c r="E297" s="1" t="s">
        <v>147</v>
      </c>
      <c r="F297" s="1"/>
      <c r="G297" s="1" t="s">
        <v>943</v>
      </c>
      <c r="H297" s="1" t="s">
        <v>8</v>
      </c>
      <c r="I297" s="1" t="s">
        <v>42</v>
      </c>
      <c r="J297" s="1" t="s">
        <v>43</v>
      </c>
      <c r="K297" s="1" t="s">
        <v>46</v>
      </c>
    </row>
    <row r="298" spans="1:11" x14ac:dyDescent="0.25">
      <c r="A298" s="18" t="str">
        <f xml:space="preserve">  MapNameLkup</f>
        <v>m_ofs_trex_ar_invoices</v>
      </c>
      <c r="B298" s="1" t="s">
        <v>859</v>
      </c>
      <c r="C298" s="1"/>
      <c r="D298" s="1" t="s">
        <v>6</v>
      </c>
      <c r="E298" s="1" t="s">
        <v>879</v>
      </c>
      <c r="F298" s="1"/>
      <c r="G298" s="1" t="s">
        <v>944</v>
      </c>
      <c r="H298" s="1" t="s">
        <v>8</v>
      </c>
      <c r="I298" s="1" t="s">
        <v>42</v>
      </c>
      <c r="J298" s="1" t="s">
        <v>43</v>
      </c>
      <c r="K298" s="1" t="s">
        <v>46</v>
      </c>
    </row>
    <row r="299" spans="1:11" x14ac:dyDescent="0.25">
      <c r="A299" s="18" t="str">
        <f xml:space="preserve">  MapNameLkup</f>
        <v>m_ofs_trex_ar_invoices</v>
      </c>
      <c r="B299" s="1" t="s">
        <v>859</v>
      </c>
      <c r="C299" s="1"/>
      <c r="D299" s="1" t="s">
        <v>6</v>
      </c>
      <c r="E299" s="1" t="s">
        <v>880</v>
      </c>
      <c r="F299" s="1"/>
      <c r="G299" s="1" t="s">
        <v>923</v>
      </c>
      <c r="H299" s="1" t="s">
        <v>8</v>
      </c>
      <c r="I299" s="1" t="s">
        <v>42</v>
      </c>
      <c r="J299" s="1" t="s">
        <v>43</v>
      </c>
      <c r="K299" s="1" t="s">
        <v>46</v>
      </c>
    </row>
    <row r="300" spans="1:11" x14ac:dyDescent="0.25">
      <c r="A300" s="18" t="str">
        <f xml:space="preserve">  MapNameLkup</f>
        <v>m_ofs_trex_ar_invoices</v>
      </c>
      <c r="B300" s="1" t="s">
        <v>859</v>
      </c>
      <c r="C300" s="1"/>
      <c r="D300" s="1" t="s">
        <v>6</v>
      </c>
      <c r="E300" s="1" t="s">
        <v>866</v>
      </c>
      <c r="F300" s="1"/>
      <c r="G300" s="1" t="s">
        <v>925</v>
      </c>
      <c r="H300" s="1" t="s">
        <v>8</v>
      </c>
      <c r="I300" s="1" t="s">
        <v>42</v>
      </c>
      <c r="J300" s="1" t="s">
        <v>43</v>
      </c>
      <c r="K300" s="1" t="s">
        <v>45</v>
      </c>
    </row>
    <row r="301" spans="1:11" x14ac:dyDescent="0.25">
      <c r="A301" s="18" t="str">
        <f xml:space="preserve">  MapNameLkup</f>
        <v>m_ofs_trex_ar_invoices</v>
      </c>
      <c r="B301" s="1" t="s">
        <v>860</v>
      </c>
      <c r="C301" s="1"/>
      <c r="D301" s="1" t="s">
        <v>66</v>
      </c>
      <c r="E301" s="1" t="s">
        <v>113</v>
      </c>
      <c r="F301" s="1"/>
      <c r="G301" s="1"/>
      <c r="H301" s="1"/>
      <c r="I301" s="1" t="s">
        <v>41</v>
      </c>
      <c r="J301" s="1"/>
      <c r="K301" s="1" t="s">
        <v>840</v>
      </c>
    </row>
    <row r="302" spans="1:11" x14ac:dyDescent="0.25">
      <c r="A302" s="18" t="str">
        <f xml:space="preserve">  MapNameLkup</f>
        <v>m_ofs_trex_ar_invoices</v>
      </c>
      <c r="B302" s="1" t="s">
        <v>860</v>
      </c>
      <c r="C302" s="1"/>
      <c r="D302" s="1" t="s">
        <v>66</v>
      </c>
      <c r="E302" s="1" t="s">
        <v>114</v>
      </c>
      <c r="F302" s="1"/>
      <c r="G302" s="1"/>
      <c r="H302" s="1"/>
      <c r="I302" s="1" t="s">
        <v>41</v>
      </c>
      <c r="J302" s="1"/>
      <c r="K302" s="1" t="s">
        <v>46</v>
      </c>
    </row>
    <row r="303" spans="1:11" x14ac:dyDescent="0.25">
      <c r="A303" s="18" t="str">
        <f xml:space="preserve">  MapNameLkup</f>
        <v>m_ofs_trex_ar_invoices</v>
      </c>
      <c r="B303" s="1" t="s">
        <v>860</v>
      </c>
      <c r="C303" s="1"/>
      <c r="D303" s="1" t="s">
        <v>66</v>
      </c>
      <c r="E303" s="1" t="s">
        <v>115</v>
      </c>
      <c r="F303" s="1"/>
      <c r="G303" s="1"/>
      <c r="H303" s="1"/>
      <c r="I303" s="1" t="s">
        <v>41</v>
      </c>
      <c r="J303" s="1"/>
      <c r="K303" s="1" t="s">
        <v>46</v>
      </c>
    </row>
    <row r="304" spans="1:11" x14ac:dyDescent="0.25">
      <c r="A304" s="18" t="str">
        <f xml:space="preserve">  MapNameLkup</f>
        <v>m_ofs_trex_ar_invoices</v>
      </c>
      <c r="B304" s="1" t="s">
        <v>860</v>
      </c>
      <c r="C304" s="1"/>
      <c r="D304" s="1" t="s">
        <v>66</v>
      </c>
      <c r="E304" s="1" t="s">
        <v>116</v>
      </c>
      <c r="F304" s="1"/>
      <c r="G304" s="1"/>
      <c r="H304" s="1"/>
      <c r="I304" s="1" t="s">
        <v>41</v>
      </c>
      <c r="J304" s="1"/>
      <c r="K304" s="1" t="s">
        <v>46</v>
      </c>
    </row>
    <row r="305" spans="1:11" x14ac:dyDescent="0.25">
      <c r="A305" s="18" t="str">
        <f xml:space="preserve">  MapNameLkup</f>
        <v>m_ofs_trex_ar_invoices</v>
      </c>
      <c r="B305" s="1" t="s">
        <v>860</v>
      </c>
      <c r="C305" s="1"/>
      <c r="D305" s="1" t="s">
        <v>66</v>
      </c>
      <c r="E305" s="1" t="s">
        <v>870</v>
      </c>
      <c r="F305" s="1"/>
      <c r="G305" s="1"/>
      <c r="H305" s="1"/>
      <c r="I305" s="1" t="s">
        <v>41</v>
      </c>
      <c r="J305" s="1"/>
      <c r="K305" s="1" t="s">
        <v>44</v>
      </c>
    </row>
    <row r="306" spans="1:11" x14ac:dyDescent="0.25">
      <c r="A306" s="18" t="str">
        <f xml:space="preserve">  MapNameLkup</f>
        <v>m_ofs_trex_ar_invoices</v>
      </c>
      <c r="B306" s="1" t="s">
        <v>860</v>
      </c>
      <c r="C306" s="1"/>
      <c r="D306" s="1" t="s">
        <v>66</v>
      </c>
      <c r="E306" s="1" t="s">
        <v>871</v>
      </c>
      <c r="F306" s="1"/>
      <c r="G306" s="1"/>
      <c r="H306" s="1"/>
      <c r="I306" s="1" t="s">
        <v>41</v>
      </c>
      <c r="J306" s="1"/>
      <c r="K306" s="1" t="s">
        <v>44</v>
      </c>
    </row>
    <row r="307" spans="1:11" x14ac:dyDescent="0.25">
      <c r="A307" s="18" t="str">
        <f xml:space="preserve">  MapNameLkup</f>
        <v>m_ofs_trex_ar_invoices</v>
      </c>
      <c r="B307" s="1" t="s">
        <v>860</v>
      </c>
      <c r="C307" s="1"/>
      <c r="D307" s="1" t="s">
        <v>66</v>
      </c>
      <c r="E307" s="1" t="s">
        <v>119</v>
      </c>
      <c r="F307" s="1"/>
      <c r="G307" s="1"/>
      <c r="H307" s="1"/>
      <c r="I307" s="1" t="s">
        <v>41</v>
      </c>
      <c r="J307" s="1"/>
      <c r="K307" s="1" t="s">
        <v>46</v>
      </c>
    </row>
    <row r="308" spans="1:11" x14ac:dyDescent="0.25">
      <c r="A308" s="18" t="str">
        <f xml:space="preserve">  MapNameLkup</f>
        <v>m_ofs_trex_ar_invoices</v>
      </c>
      <c r="B308" s="1" t="s">
        <v>860</v>
      </c>
      <c r="C308" s="1"/>
      <c r="D308" s="1" t="s">
        <v>66</v>
      </c>
      <c r="E308" s="1" t="s">
        <v>120</v>
      </c>
      <c r="F308" s="1"/>
      <c r="G308" s="1"/>
      <c r="H308" s="1"/>
      <c r="I308" s="1" t="s">
        <v>41</v>
      </c>
      <c r="J308" s="1"/>
      <c r="K308" s="1" t="s">
        <v>46</v>
      </c>
    </row>
    <row r="309" spans="1:11" x14ac:dyDescent="0.25">
      <c r="A309" s="18" t="str">
        <f xml:space="preserve">  MapNameLkup</f>
        <v>m_ofs_trex_ar_invoices</v>
      </c>
      <c r="B309" s="1" t="s">
        <v>860</v>
      </c>
      <c r="C309" s="1"/>
      <c r="D309" s="1" t="s">
        <v>66</v>
      </c>
      <c r="E309" s="1" t="s">
        <v>121</v>
      </c>
      <c r="F309" s="1"/>
      <c r="G309" s="1"/>
      <c r="H309" s="1"/>
      <c r="I309" s="1" t="s">
        <v>41</v>
      </c>
      <c r="J309" s="1"/>
      <c r="K309" s="1" t="s">
        <v>46</v>
      </c>
    </row>
    <row r="310" spans="1:11" x14ac:dyDescent="0.25">
      <c r="A310" s="18" t="str">
        <f xml:space="preserve">  MapNameLkup</f>
        <v>m_ofs_trex_ar_invoices</v>
      </c>
      <c r="B310" s="1" t="s">
        <v>860</v>
      </c>
      <c r="C310" s="1"/>
      <c r="D310" s="1" t="s">
        <v>66</v>
      </c>
      <c r="E310" s="1" t="s">
        <v>122</v>
      </c>
      <c r="F310" s="1"/>
      <c r="G310" s="1"/>
      <c r="H310" s="1"/>
      <c r="I310" s="1" t="s">
        <v>41</v>
      </c>
      <c r="J310" s="1"/>
      <c r="K310" s="1" t="s">
        <v>46</v>
      </c>
    </row>
    <row r="311" spans="1:11" x14ac:dyDescent="0.25">
      <c r="A311" s="18" t="str">
        <f xml:space="preserve">  MapNameLkup</f>
        <v>m_ofs_trex_ar_invoices</v>
      </c>
      <c r="B311" s="1" t="s">
        <v>860</v>
      </c>
      <c r="C311" s="1"/>
      <c r="D311" s="1" t="s">
        <v>66</v>
      </c>
      <c r="E311" s="1" t="s">
        <v>872</v>
      </c>
      <c r="F311" s="1"/>
      <c r="G311" s="1"/>
      <c r="H311" s="1"/>
      <c r="I311" s="1" t="s">
        <v>41</v>
      </c>
      <c r="J311" s="1"/>
      <c r="K311" s="1" t="s">
        <v>44</v>
      </c>
    </row>
    <row r="312" spans="1:11" x14ac:dyDescent="0.25">
      <c r="A312" s="18" t="str">
        <f xml:space="preserve">  MapNameLkup</f>
        <v>m_ofs_trex_ar_invoices</v>
      </c>
      <c r="B312" s="1" t="s">
        <v>860</v>
      </c>
      <c r="C312" s="1"/>
      <c r="D312" s="1" t="s">
        <v>66</v>
      </c>
      <c r="E312" s="1" t="s">
        <v>124</v>
      </c>
      <c r="F312" s="1"/>
      <c r="G312" s="1"/>
      <c r="H312" s="1"/>
      <c r="I312" s="1" t="s">
        <v>41</v>
      </c>
      <c r="J312" s="1"/>
      <c r="K312" s="1" t="s">
        <v>46</v>
      </c>
    </row>
    <row r="313" spans="1:11" x14ac:dyDescent="0.25">
      <c r="A313" s="18" t="str">
        <f xml:space="preserve">  MapNameLkup</f>
        <v>m_ofs_trex_ar_invoices</v>
      </c>
      <c r="B313" s="1" t="s">
        <v>860</v>
      </c>
      <c r="C313" s="1"/>
      <c r="D313" s="1" t="s">
        <v>66</v>
      </c>
      <c r="E313" s="1" t="s">
        <v>125</v>
      </c>
      <c r="F313" s="1"/>
      <c r="G313" s="1"/>
      <c r="H313" s="1"/>
      <c r="I313" s="1" t="s">
        <v>41</v>
      </c>
      <c r="J313" s="1"/>
      <c r="K313" s="1" t="s">
        <v>46</v>
      </c>
    </row>
    <row r="314" spans="1:11" x14ac:dyDescent="0.25">
      <c r="A314" s="18" t="str">
        <f xml:space="preserve">  MapNameLkup</f>
        <v>m_ofs_trex_ar_invoices</v>
      </c>
      <c r="B314" s="1" t="s">
        <v>860</v>
      </c>
      <c r="C314" s="1"/>
      <c r="D314" s="1" t="s">
        <v>66</v>
      </c>
      <c r="E314" s="1" t="s">
        <v>126</v>
      </c>
      <c r="F314" s="1"/>
      <c r="G314" s="1"/>
      <c r="H314" s="1"/>
      <c r="I314" s="1" t="s">
        <v>41</v>
      </c>
      <c r="J314" s="1"/>
      <c r="K314" s="1" t="s">
        <v>46</v>
      </c>
    </row>
    <row r="315" spans="1:11" x14ac:dyDescent="0.25">
      <c r="A315" s="18" t="str">
        <f xml:space="preserve">  MapNameLkup</f>
        <v>m_ofs_trex_ar_invoices</v>
      </c>
      <c r="B315" s="1" t="s">
        <v>860</v>
      </c>
      <c r="C315" s="1"/>
      <c r="D315" s="1" t="s">
        <v>66</v>
      </c>
      <c r="E315" s="1" t="s">
        <v>127</v>
      </c>
      <c r="F315" s="1"/>
      <c r="G315" s="1"/>
      <c r="H315" s="1"/>
      <c r="I315" s="1" t="s">
        <v>41</v>
      </c>
      <c r="J315" s="1"/>
      <c r="K315" s="1" t="s">
        <v>45</v>
      </c>
    </row>
    <row r="316" spans="1:11" x14ac:dyDescent="0.25">
      <c r="A316" s="18" t="str">
        <f xml:space="preserve">  MapNameLkup</f>
        <v>m_ofs_trex_ar_invoices</v>
      </c>
      <c r="B316" s="1" t="s">
        <v>860</v>
      </c>
      <c r="C316" s="1"/>
      <c r="D316" s="1" t="s">
        <v>66</v>
      </c>
      <c r="E316" s="1" t="s">
        <v>128</v>
      </c>
      <c r="F316" s="1"/>
      <c r="G316" s="1"/>
      <c r="H316" s="1"/>
      <c r="I316" s="1" t="s">
        <v>41</v>
      </c>
      <c r="J316" s="1"/>
      <c r="K316" s="1" t="s">
        <v>45</v>
      </c>
    </row>
    <row r="317" spans="1:11" x14ac:dyDescent="0.25">
      <c r="A317" s="18" t="str">
        <f xml:space="preserve">  MapNameLkup</f>
        <v>m_ofs_trex_ar_invoices</v>
      </c>
      <c r="B317" s="1" t="s">
        <v>860</v>
      </c>
      <c r="C317" s="1"/>
      <c r="D317" s="1" t="s">
        <v>66</v>
      </c>
      <c r="E317" s="1" t="s">
        <v>129</v>
      </c>
      <c r="F317" s="1"/>
      <c r="G317" s="1"/>
      <c r="H317" s="1"/>
      <c r="I317" s="1" t="s">
        <v>41</v>
      </c>
      <c r="J317" s="1"/>
      <c r="K317" s="1" t="s">
        <v>46</v>
      </c>
    </row>
    <row r="318" spans="1:11" x14ac:dyDescent="0.25">
      <c r="A318" s="18" t="str">
        <f xml:space="preserve">  MapNameLkup</f>
        <v>m_ofs_trex_ar_invoices</v>
      </c>
      <c r="B318" s="1" t="s">
        <v>860</v>
      </c>
      <c r="C318" s="1"/>
      <c r="D318" s="1" t="s">
        <v>66</v>
      </c>
      <c r="E318" s="1" t="s">
        <v>130</v>
      </c>
      <c r="F318" s="1"/>
      <c r="G318" s="1"/>
      <c r="H318" s="1"/>
      <c r="I318" s="1" t="s">
        <v>41</v>
      </c>
      <c r="J318" s="1"/>
      <c r="K318" s="1" t="s">
        <v>46</v>
      </c>
    </row>
    <row r="319" spans="1:11" x14ac:dyDescent="0.25">
      <c r="A319" s="18" t="str">
        <f xml:space="preserve">  MapNameLkup</f>
        <v>m_ofs_trex_ar_invoices</v>
      </c>
      <c r="B319" s="1" t="s">
        <v>860</v>
      </c>
      <c r="C319" s="1"/>
      <c r="D319" s="1" t="s">
        <v>66</v>
      </c>
      <c r="E319" s="1" t="s">
        <v>873</v>
      </c>
      <c r="F319" s="1"/>
      <c r="G319" s="1"/>
      <c r="H319" s="1"/>
      <c r="I319" s="1" t="s">
        <v>41</v>
      </c>
      <c r="J319" s="1"/>
      <c r="K319" s="1" t="s">
        <v>947</v>
      </c>
    </row>
    <row r="320" spans="1:11" x14ac:dyDescent="0.25">
      <c r="A320" s="18" t="str">
        <f xml:space="preserve">  MapNameLkup</f>
        <v>m_ofs_trex_ar_invoices</v>
      </c>
      <c r="B320" s="1" t="s">
        <v>860</v>
      </c>
      <c r="C320" s="1"/>
      <c r="D320" s="1" t="s">
        <v>66</v>
      </c>
      <c r="E320" s="1" t="s">
        <v>874</v>
      </c>
      <c r="F320" s="1"/>
      <c r="G320" s="1"/>
      <c r="H320" s="1"/>
      <c r="I320" s="1" t="s">
        <v>41</v>
      </c>
      <c r="J320" s="1"/>
      <c r="K320" s="1" t="s">
        <v>947</v>
      </c>
    </row>
    <row r="321" spans="1:11" x14ac:dyDescent="0.25">
      <c r="A321" s="18" t="str">
        <f xml:space="preserve">  MapNameLkup</f>
        <v>m_ofs_trex_ar_invoices</v>
      </c>
      <c r="B321" s="1" t="s">
        <v>860</v>
      </c>
      <c r="C321" s="1"/>
      <c r="D321" s="1" t="s">
        <v>66</v>
      </c>
      <c r="E321" s="1" t="s">
        <v>875</v>
      </c>
      <c r="F321" s="1"/>
      <c r="G321" s="1"/>
      <c r="H321" s="1"/>
      <c r="I321" s="1" t="s">
        <v>41</v>
      </c>
      <c r="J321" s="1"/>
      <c r="K321" s="1" t="s">
        <v>947</v>
      </c>
    </row>
    <row r="322" spans="1:11" x14ac:dyDescent="0.25">
      <c r="A322" s="18" t="str">
        <f xml:space="preserve">  MapNameLkup</f>
        <v>m_ofs_trex_ar_invoices</v>
      </c>
      <c r="B322" s="1" t="s">
        <v>860</v>
      </c>
      <c r="C322" s="1"/>
      <c r="D322" s="1" t="s">
        <v>66</v>
      </c>
      <c r="E322" s="1" t="s">
        <v>876</v>
      </c>
      <c r="F322" s="1"/>
      <c r="G322" s="1"/>
      <c r="H322" s="1"/>
      <c r="I322" s="1" t="s">
        <v>41</v>
      </c>
      <c r="J322" s="1"/>
      <c r="K322" s="1" t="s">
        <v>947</v>
      </c>
    </row>
    <row r="323" spans="1:11" x14ac:dyDescent="0.25">
      <c r="A323" s="18" t="str">
        <f xml:space="preserve">  MapNameLkup</f>
        <v>m_ofs_trex_ar_invoices</v>
      </c>
      <c r="B323" s="1" t="s">
        <v>860</v>
      </c>
      <c r="C323" s="1"/>
      <c r="D323" s="1" t="s">
        <v>66</v>
      </c>
      <c r="E323" s="1" t="s">
        <v>877</v>
      </c>
      <c r="F323" s="1"/>
      <c r="G323" s="1"/>
      <c r="H323" s="1"/>
      <c r="I323" s="1" t="s">
        <v>41</v>
      </c>
      <c r="J323" s="1"/>
      <c r="K323" s="1" t="s">
        <v>947</v>
      </c>
    </row>
    <row r="324" spans="1:11" x14ac:dyDescent="0.25">
      <c r="A324" s="18" t="str">
        <f xml:space="preserve">  MapNameLkup</f>
        <v>m_ofs_trex_ar_invoices</v>
      </c>
      <c r="B324" s="1" t="s">
        <v>860</v>
      </c>
      <c r="C324" s="1"/>
      <c r="D324" s="1" t="s">
        <v>66</v>
      </c>
      <c r="E324" s="1" t="s">
        <v>878</v>
      </c>
      <c r="F324" s="1"/>
      <c r="G324" s="1"/>
      <c r="H324" s="1"/>
      <c r="I324" s="1" t="s">
        <v>41</v>
      </c>
      <c r="J324" s="1"/>
      <c r="K324" s="1" t="s">
        <v>947</v>
      </c>
    </row>
    <row r="325" spans="1:11" x14ac:dyDescent="0.25">
      <c r="A325" s="18" t="str">
        <f xml:space="preserve">  MapNameLkup</f>
        <v>m_ofs_trex_ar_invoices</v>
      </c>
      <c r="B325" s="1" t="s">
        <v>860</v>
      </c>
      <c r="C325" s="1"/>
      <c r="D325" s="1" t="s">
        <v>66</v>
      </c>
      <c r="E325" s="1" t="s">
        <v>137</v>
      </c>
      <c r="F325" s="1"/>
      <c r="G325" s="1"/>
      <c r="H325" s="1"/>
      <c r="I325" s="1" t="s">
        <v>41</v>
      </c>
      <c r="J325" s="1"/>
      <c r="K325" s="1" t="s">
        <v>46</v>
      </c>
    </row>
    <row r="326" spans="1:11" x14ac:dyDescent="0.25">
      <c r="A326" s="18" t="str">
        <f xml:space="preserve">  MapNameLkup</f>
        <v>m_ofs_trex_ar_invoices</v>
      </c>
      <c r="B326" s="1" t="s">
        <v>860</v>
      </c>
      <c r="C326" s="1"/>
      <c r="D326" s="1" t="s">
        <v>66</v>
      </c>
      <c r="E326" s="1" t="s">
        <v>138</v>
      </c>
      <c r="F326" s="1"/>
      <c r="G326" s="1"/>
      <c r="H326" s="1"/>
      <c r="I326" s="1" t="s">
        <v>41</v>
      </c>
      <c r="J326" s="1"/>
      <c r="K326" s="1" t="s">
        <v>46</v>
      </c>
    </row>
    <row r="327" spans="1:11" x14ac:dyDescent="0.25">
      <c r="A327" s="18" t="str">
        <f xml:space="preserve">  MapNameLkup</f>
        <v>m_ofs_trex_ar_invoices</v>
      </c>
      <c r="B327" s="1" t="s">
        <v>860</v>
      </c>
      <c r="C327" s="1"/>
      <c r="D327" s="1" t="s">
        <v>66</v>
      </c>
      <c r="E327" s="1" t="s">
        <v>139</v>
      </c>
      <c r="F327" s="1"/>
      <c r="G327" s="1"/>
      <c r="H327" s="1"/>
      <c r="I327" s="1" t="s">
        <v>41</v>
      </c>
      <c r="J327" s="1"/>
      <c r="K327" s="1" t="s">
        <v>46</v>
      </c>
    </row>
    <row r="328" spans="1:11" x14ac:dyDescent="0.25">
      <c r="A328" s="18" t="str">
        <f xml:space="preserve">  MapNameLkup</f>
        <v>m_ofs_trex_ar_invoices</v>
      </c>
      <c r="B328" s="1" t="s">
        <v>860</v>
      </c>
      <c r="C328" s="1"/>
      <c r="D328" s="1" t="s">
        <v>66</v>
      </c>
      <c r="E328" s="1" t="s">
        <v>140</v>
      </c>
      <c r="F328" s="1"/>
      <c r="G328" s="1"/>
      <c r="H328" s="1"/>
      <c r="I328" s="1" t="s">
        <v>41</v>
      </c>
      <c r="J328" s="1"/>
      <c r="K328" s="1" t="s">
        <v>46</v>
      </c>
    </row>
    <row r="329" spans="1:11" x14ac:dyDescent="0.25">
      <c r="A329" s="18" t="str">
        <f xml:space="preserve">  MapNameLkup</f>
        <v>m_ofs_trex_ar_invoices</v>
      </c>
      <c r="B329" s="1" t="s">
        <v>860</v>
      </c>
      <c r="C329" s="1"/>
      <c r="D329" s="1" t="s">
        <v>66</v>
      </c>
      <c r="E329" s="1" t="s">
        <v>141</v>
      </c>
      <c r="F329" s="1"/>
      <c r="G329" s="1"/>
      <c r="H329" s="1"/>
      <c r="I329" s="1" t="s">
        <v>41</v>
      </c>
      <c r="J329" s="1"/>
      <c r="K329" s="1" t="s">
        <v>46</v>
      </c>
    </row>
    <row r="330" spans="1:11" x14ac:dyDescent="0.25">
      <c r="A330" s="18" t="str">
        <f xml:space="preserve">  MapNameLkup</f>
        <v>m_ofs_trex_ar_invoices</v>
      </c>
      <c r="B330" s="1" t="s">
        <v>860</v>
      </c>
      <c r="C330" s="1"/>
      <c r="D330" s="1" t="s">
        <v>66</v>
      </c>
      <c r="E330" s="1" t="s">
        <v>142</v>
      </c>
      <c r="F330" s="1"/>
      <c r="G330" s="1"/>
      <c r="H330" s="1"/>
      <c r="I330" s="1" t="s">
        <v>41</v>
      </c>
      <c r="J330" s="1"/>
      <c r="K330" s="1" t="s">
        <v>45</v>
      </c>
    </row>
    <row r="331" spans="1:11" x14ac:dyDescent="0.25">
      <c r="A331" s="18" t="str">
        <f xml:space="preserve">  MapNameLkup</f>
        <v>m_ofs_trex_ar_invoices</v>
      </c>
      <c r="B331" s="1" t="s">
        <v>860</v>
      </c>
      <c r="C331" s="1"/>
      <c r="D331" s="1" t="s">
        <v>66</v>
      </c>
      <c r="E331" s="1" t="s">
        <v>143</v>
      </c>
      <c r="F331" s="1"/>
      <c r="G331" s="1"/>
      <c r="H331" s="1"/>
      <c r="I331" s="1" t="s">
        <v>41</v>
      </c>
      <c r="J331" s="1"/>
      <c r="K331" s="1" t="s">
        <v>45</v>
      </c>
    </row>
    <row r="332" spans="1:11" x14ac:dyDescent="0.25">
      <c r="A332" s="18" t="str">
        <f xml:space="preserve">  MapNameLkup</f>
        <v>m_ofs_trex_ar_invoices</v>
      </c>
      <c r="B332" s="1" t="s">
        <v>860</v>
      </c>
      <c r="C332" s="1"/>
      <c r="D332" s="1" t="s">
        <v>66</v>
      </c>
      <c r="E332" s="1" t="s">
        <v>144</v>
      </c>
      <c r="F332" s="1"/>
      <c r="G332" s="1"/>
      <c r="H332" s="1"/>
      <c r="I332" s="1" t="s">
        <v>41</v>
      </c>
      <c r="J332" s="1"/>
      <c r="K332" s="1" t="s">
        <v>45</v>
      </c>
    </row>
    <row r="333" spans="1:11" x14ac:dyDescent="0.25">
      <c r="A333" s="18" t="str">
        <f xml:space="preserve">  MapNameLkup</f>
        <v>m_ofs_trex_ar_invoices</v>
      </c>
      <c r="B333" s="1" t="s">
        <v>860</v>
      </c>
      <c r="C333" s="1"/>
      <c r="D333" s="1" t="s">
        <v>66</v>
      </c>
      <c r="E333" s="1" t="s">
        <v>145</v>
      </c>
      <c r="F333" s="1"/>
      <c r="G333" s="1"/>
      <c r="H333" s="1"/>
      <c r="I333" s="1" t="s">
        <v>41</v>
      </c>
      <c r="J333" s="1"/>
      <c r="K333" s="1" t="s">
        <v>45</v>
      </c>
    </row>
    <row r="334" spans="1:11" x14ac:dyDescent="0.25">
      <c r="A334" s="18" t="str">
        <f xml:space="preserve">  MapNameLkup</f>
        <v>m_ofs_trex_ar_invoices</v>
      </c>
      <c r="B334" s="1" t="s">
        <v>860</v>
      </c>
      <c r="C334" s="1"/>
      <c r="D334" s="1" t="s">
        <v>66</v>
      </c>
      <c r="E334" s="1" t="s">
        <v>146</v>
      </c>
      <c r="F334" s="1"/>
      <c r="G334" s="1"/>
      <c r="H334" s="1"/>
      <c r="I334" s="1" t="s">
        <v>41</v>
      </c>
      <c r="J334" s="1"/>
      <c r="K334" s="1" t="s">
        <v>44</v>
      </c>
    </row>
    <row r="335" spans="1:11" x14ac:dyDescent="0.25">
      <c r="A335" s="18" t="str">
        <f xml:space="preserve">  MapNameLkup</f>
        <v>m_ofs_trex_ar_invoices</v>
      </c>
      <c r="B335" s="1" t="s">
        <v>860</v>
      </c>
      <c r="C335" s="1"/>
      <c r="D335" s="1" t="s">
        <v>66</v>
      </c>
      <c r="E335" s="1" t="s">
        <v>147</v>
      </c>
      <c r="F335" s="1"/>
      <c r="G335" s="1"/>
      <c r="H335" s="1"/>
      <c r="I335" s="1" t="s">
        <v>41</v>
      </c>
      <c r="J335" s="1"/>
      <c r="K335" s="1" t="s">
        <v>46</v>
      </c>
    </row>
    <row r="336" spans="1:11" x14ac:dyDescent="0.25">
      <c r="A336" s="18" t="str">
        <f xml:space="preserve">  MapNameLkup</f>
        <v>m_ofs_trex_ar_invoices</v>
      </c>
      <c r="B336" s="1" t="s">
        <v>860</v>
      </c>
      <c r="C336" s="1"/>
      <c r="D336" s="1" t="s">
        <v>66</v>
      </c>
      <c r="E336" s="1" t="s">
        <v>879</v>
      </c>
      <c r="F336" s="1"/>
      <c r="G336" s="1"/>
      <c r="H336" s="1"/>
      <c r="I336" s="1" t="s">
        <v>41</v>
      </c>
      <c r="J336" s="1"/>
      <c r="K336" s="1" t="s">
        <v>46</v>
      </c>
    </row>
    <row r="337" spans="1:11" x14ac:dyDescent="0.25">
      <c r="A337" s="18" t="str">
        <f xml:space="preserve">  MapNameLkup</f>
        <v>m_ofs_trex_ar_invoices</v>
      </c>
      <c r="B337" s="1" t="s">
        <v>860</v>
      </c>
      <c r="C337" s="1"/>
      <c r="D337" s="1" t="s">
        <v>66</v>
      </c>
      <c r="E337" s="1" t="s">
        <v>880</v>
      </c>
      <c r="F337" s="1"/>
      <c r="G337" s="1"/>
      <c r="H337" s="1"/>
      <c r="I337" s="1" t="s">
        <v>41</v>
      </c>
      <c r="J337" s="1"/>
      <c r="K337" s="1" t="s">
        <v>46</v>
      </c>
    </row>
    <row r="338" spans="1:11" x14ac:dyDescent="0.25">
      <c r="A338" s="18" t="str">
        <f xml:space="preserve">  MapNameLkup</f>
        <v>m_ofs_trex_ar_invoices</v>
      </c>
      <c r="B338" s="1" t="s">
        <v>860</v>
      </c>
      <c r="C338" s="1"/>
      <c r="D338" s="1" t="s">
        <v>66</v>
      </c>
      <c r="E338" s="1" t="s">
        <v>866</v>
      </c>
      <c r="F338" s="1"/>
      <c r="G338" s="1"/>
      <c r="H338" s="1"/>
      <c r="I338" s="1" t="s">
        <v>41</v>
      </c>
      <c r="J338" s="1"/>
      <c r="K338" s="1" t="s">
        <v>45</v>
      </c>
    </row>
    <row r="339" spans="1:11" x14ac:dyDescent="0.25">
      <c r="A339" s="18" t="str">
        <f xml:space="preserve">  MapNameLkup</f>
        <v>m_ofs_trex_ar_invoices</v>
      </c>
      <c r="B339" s="1" t="s">
        <v>861</v>
      </c>
      <c r="C339" s="1"/>
      <c r="D339" s="1" t="s">
        <v>863</v>
      </c>
      <c r="E339" s="1" t="s">
        <v>113</v>
      </c>
      <c r="F339" s="1"/>
      <c r="G339" s="1"/>
      <c r="H339" s="1"/>
      <c r="I339" s="1" t="s">
        <v>41</v>
      </c>
      <c r="J339" s="1"/>
      <c r="K339" s="1" t="s">
        <v>840</v>
      </c>
    </row>
    <row r="340" spans="1:11" x14ac:dyDescent="0.25">
      <c r="A340" s="18" t="str">
        <f xml:space="preserve">  MapNameLkup</f>
        <v>m_ofs_trex_ar_invoices</v>
      </c>
      <c r="B340" s="1" t="s">
        <v>861</v>
      </c>
      <c r="C340" s="1"/>
      <c r="D340" s="1" t="s">
        <v>863</v>
      </c>
      <c r="E340" s="1" t="s">
        <v>114</v>
      </c>
      <c r="F340" s="1"/>
      <c r="G340" s="1"/>
      <c r="H340" s="1"/>
      <c r="I340" s="1" t="s">
        <v>41</v>
      </c>
      <c r="J340" s="1"/>
      <c r="K340" s="1" t="s">
        <v>46</v>
      </c>
    </row>
    <row r="341" spans="1:11" x14ac:dyDescent="0.25">
      <c r="A341" s="18" t="str">
        <f xml:space="preserve">  MapNameLkup</f>
        <v>m_ofs_trex_ar_invoices</v>
      </c>
      <c r="B341" s="1" t="s">
        <v>861</v>
      </c>
      <c r="C341" s="1"/>
      <c r="D341" s="1" t="s">
        <v>863</v>
      </c>
      <c r="E341" s="1" t="s">
        <v>115</v>
      </c>
      <c r="F341" s="1"/>
      <c r="G341" s="1"/>
      <c r="H341" s="1"/>
      <c r="I341" s="1" t="s">
        <v>41</v>
      </c>
      <c r="J341" s="1"/>
      <c r="K341" s="1" t="s">
        <v>46</v>
      </c>
    </row>
    <row r="342" spans="1:11" x14ac:dyDescent="0.25">
      <c r="A342" s="18" t="str">
        <f xml:space="preserve">  MapNameLkup</f>
        <v>m_ofs_trex_ar_invoices</v>
      </c>
      <c r="B342" s="1" t="s">
        <v>861</v>
      </c>
      <c r="C342" s="1"/>
      <c r="D342" s="1" t="s">
        <v>863</v>
      </c>
      <c r="E342" s="1" t="s">
        <v>116</v>
      </c>
      <c r="F342" s="1"/>
      <c r="G342" s="1"/>
      <c r="H342" s="1"/>
      <c r="I342" s="1" t="s">
        <v>41</v>
      </c>
      <c r="J342" s="1"/>
      <c r="K342" s="1" t="s">
        <v>46</v>
      </c>
    </row>
    <row r="343" spans="1:11" x14ac:dyDescent="0.25">
      <c r="A343" s="18" t="str">
        <f xml:space="preserve">  MapNameLkup</f>
        <v>m_ofs_trex_ar_invoices</v>
      </c>
      <c r="B343" s="1" t="s">
        <v>861</v>
      </c>
      <c r="C343" s="1"/>
      <c r="D343" s="1" t="s">
        <v>863</v>
      </c>
      <c r="E343" s="1" t="s">
        <v>870</v>
      </c>
      <c r="F343" s="1"/>
      <c r="G343" s="1"/>
      <c r="H343" s="1"/>
      <c r="I343" s="1" t="s">
        <v>41</v>
      </c>
      <c r="J343" s="1"/>
      <c r="K343" s="1" t="s">
        <v>44</v>
      </c>
    </row>
    <row r="344" spans="1:11" x14ac:dyDescent="0.25">
      <c r="A344" s="18" t="str">
        <f xml:space="preserve">  MapNameLkup</f>
        <v>m_ofs_trex_ar_invoices</v>
      </c>
      <c r="B344" s="1" t="s">
        <v>861</v>
      </c>
      <c r="C344" s="1"/>
      <c r="D344" s="1" t="s">
        <v>863</v>
      </c>
      <c r="E344" s="1" t="s">
        <v>871</v>
      </c>
      <c r="F344" s="1"/>
      <c r="G344" s="1"/>
      <c r="H344" s="1"/>
      <c r="I344" s="1" t="s">
        <v>41</v>
      </c>
      <c r="J344" s="1"/>
      <c r="K344" s="1" t="s">
        <v>44</v>
      </c>
    </row>
    <row r="345" spans="1:11" x14ac:dyDescent="0.25">
      <c r="A345" s="18" t="str">
        <f xml:space="preserve">  MapNameLkup</f>
        <v>m_ofs_trex_ar_invoices</v>
      </c>
      <c r="B345" s="1" t="s">
        <v>861</v>
      </c>
      <c r="C345" s="1"/>
      <c r="D345" s="1" t="s">
        <v>863</v>
      </c>
      <c r="E345" s="1" t="s">
        <v>119</v>
      </c>
      <c r="F345" s="1"/>
      <c r="G345" s="1"/>
      <c r="H345" s="1"/>
      <c r="I345" s="1" t="s">
        <v>41</v>
      </c>
      <c r="J345" s="1"/>
      <c r="K345" s="1" t="s">
        <v>46</v>
      </c>
    </row>
    <row r="346" spans="1:11" x14ac:dyDescent="0.25">
      <c r="A346" s="18" t="str">
        <f xml:space="preserve">  MapNameLkup</f>
        <v>m_ofs_trex_ar_invoices</v>
      </c>
      <c r="B346" s="1" t="s">
        <v>861</v>
      </c>
      <c r="C346" s="1"/>
      <c r="D346" s="1" t="s">
        <v>863</v>
      </c>
      <c r="E346" s="1" t="s">
        <v>120</v>
      </c>
      <c r="F346" s="1"/>
      <c r="G346" s="1"/>
      <c r="H346" s="1"/>
      <c r="I346" s="1" t="s">
        <v>41</v>
      </c>
      <c r="J346" s="1"/>
      <c r="K346" s="1" t="s">
        <v>46</v>
      </c>
    </row>
    <row r="347" spans="1:11" x14ac:dyDescent="0.25">
      <c r="A347" s="18" t="str">
        <f xml:space="preserve">  MapNameLkup</f>
        <v>m_ofs_trex_ar_invoices</v>
      </c>
      <c r="B347" s="1" t="s">
        <v>861</v>
      </c>
      <c r="C347" s="1"/>
      <c r="D347" s="1" t="s">
        <v>863</v>
      </c>
      <c r="E347" s="1" t="s">
        <v>121</v>
      </c>
      <c r="F347" s="1"/>
      <c r="G347" s="1"/>
      <c r="H347" s="1"/>
      <c r="I347" s="1" t="s">
        <v>41</v>
      </c>
      <c r="J347" s="1"/>
      <c r="K347" s="1" t="s">
        <v>46</v>
      </c>
    </row>
    <row r="348" spans="1:11" x14ac:dyDescent="0.25">
      <c r="A348" s="18" t="str">
        <f xml:space="preserve">  MapNameLkup</f>
        <v>m_ofs_trex_ar_invoices</v>
      </c>
      <c r="B348" s="1" t="s">
        <v>861</v>
      </c>
      <c r="C348" s="1"/>
      <c r="D348" s="1" t="s">
        <v>863</v>
      </c>
      <c r="E348" s="1" t="s">
        <v>122</v>
      </c>
      <c r="F348" s="1"/>
      <c r="G348" s="1"/>
      <c r="H348" s="1"/>
      <c r="I348" s="1" t="s">
        <v>41</v>
      </c>
      <c r="J348" s="1"/>
      <c r="K348" s="1" t="s">
        <v>46</v>
      </c>
    </row>
    <row r="349" spans="1:11" x14ac:dyDescent="0.25">
      <c r="A349" s="18" t="str">
        <f xml:space="preserve">  MapNameLkup</f>
        <v>m_ofs_trex_ar_invoices</v>
      </c>
      <c r="B349" s="1" t="s">
        <v>861</v>
      </c>
      <c r="C349" s="1"/>
      <c r="D349" s="1" t="s">
        <v>863</v>
      </c>
      <c r="E349" s="1" t="s">
        <v>872</v>
      </c>
      <c r="F349" s="1"/>
      <c r="G349" s="1"/>
      <c r="H349" s="1"/>
      <c r="I349" s="1" t="s">
        <v>41</v>
      </c>
      <c r="J349" s="1"/>
      <c r="K349" s="1" t="s">
        <v>44</v>
      </c>
    </row>
    <row r="350" spans="1:11" x14ac:dyDescent="0.25">
      <c r="A350" s="18" t="str">
        <f xml:space="preserve">  MapNameLkup</f>
        <v>m_ofs_trex_ar_invoices</v>
      </c>
      <c r="B350" s="1" t="s">
        <v>861</v>
      </c>
      <c r="C350" s="1"/>
      <c r="D350" s="1" t="s">
        <v>863</v>
      </c>
      <c r="E350" s="1" t="s">
        <v>124</v>
      </c>
      <c r="F350" s="1"/>
      <c r="G350" s="1"/>
      <c r="H350" s="1"/>
      <c r="I350" s="1" t="s">
        <v>41</v>
      </c>
      <c r="J350" s="1"/>
      <c r="K350" s="1" t="s">
        <v>46</v>
      </c>
    </row>
    <row r="351" spans="1:11" x14ac:dyDescent="0.25">
      <c r="A351" s="18" t="str">
        <f xml:space="preserve">  MapNameLkup</f>
        <v>m_ofs_trex_ar_invoices</v>
      </c>
      <c r="B351" s="1" t="s">
        <v>861</v>
      </c>
      <c r="C351" s="1"/>
      <c r="D351" s="1" t="s">
        <v>863</v>
      </c>
      <c r="E351" s="1" t="s">
        <v>125</v>
      </c>
      <c r="F351" s="1"/>
      <c r="G351" s="1"/>
      <c r="H351" s="1"/>
      <c r="I351" s="1" t="s">
        <v>41</v>
      </c>
      <c r="J351" s="1"/>
      <c r="K351" s="1" t="s">
        <v>46</v>
      </c>
    </row>
    <row r="352" spans="1:11" x14ac:dyDescent="0.25">
      <c r="A352" s="18" t="str">
        <f xml:space="preserve">  MapNameLkup</f>
        <v>m_ofs_trex_ar_invoices</v>
      </c>
      <c r="B352" s="1" t="s">
        <v>861</v>
      </c>
      <c r="C352" s="1"/>
      <c r="D352" s="1" t="s">
        <v>863</v>
      </c>
      <c r="E352" s="1" t="s">
        <v>126</v>
      </c>
      <c r="F352" s="1"/>
      <c r="G352" s="1"/>
      <c r="H352" s="1"/>
      <c r="I352" s="1" t="s">
        <v>41</v>
      </c>
      <c r="J352" s="1"/>
      <c r="K352" s="1" t="s">
        <v>46</v>
      </c>
    </row>
    <row r="353" spans="1:11" x14ac:dyDescent="0.25">
      <c r="A353" s="18" t="str">
        <f xml:space="preserve">  MapNameLkup</f>
        <v>m_ofs_trex_ar_invoices</v>
      </c>
      <c r="B353" s="1" t="s">
        <v>861</v>
      </c>
      <c r="C353" s="1"/>
      <c r="D353" s="1" t="s">
        <v>863</v>
      </c>
      <c r="E353" s="1" t="s">
        <v>127</v>
      </c>
      <c r="F353" s="1"/>
      <c r="G353" s="1"/>
      <c r="H353" s="1"/>
      <c r="I353" s="1" t="s">
        <v>41</v>
      </c>
      <c r="J353" s="1"/>
      <c r="K353" s="1" t="s">
        <v>45</v>
      </c>
    </row>
    <row r="354" spans="1:11" x14ac:dyDescent="0.25">
      <c r="A354" s="18" t="str">
        <f xml:space="preserve">  MapNameLkup</f>
        <v>m_ofs_trex_ar_invoices</v>
      </c>
      <c r="B354" s="1" t="s">
        <v>861</v>
      </c>
      <c r="C354" s="1"/>
      <c r="D354" s="1" t="s">
        <v>863</v>
      </c>
      <c r="E354" s="1" t="s">
        <v>128</v>
      </c>
      <c r="F354" s="1"/>
      <c r="G354" s="1"/>
      <c r="H354" s="1"/>
      <c r="I354" s="1" t="s">
        <v>41</v>
      </c>
      <c r="J354" s="1"/>
      <c r="K354" s="1" t="s">
        <v>45</v>
      </c>
    </row>
    <row r="355" spans="1:11" x14ac:dyDescent="0.25">
      <c r="A355" s="18" t="str">
        <f xml:space="preserve">  MapNameLkup</f>
        <v>m_ofs_trex_ar_invoices</v>
      </c>
      <c r="B355" s="1" t="s">
        <v>861</v>
      </c>
      <c r="C355" s="1"/>
      <c r="D355" s="1" t="s">
        <v>863</v>
      </c>
      <c r="E355" s="1" t="s">
        <v>129</v>
      </c>
      <c r="F355" s="1"/>
      <c r="G355" s="1"/>
      <c r="H355" s="1"/>
      <c r="I355" s="1" t="s">
        <v>41</v>
      </c>
      <c r="J355" s="1"/>
      <c r="K355" s="1" t="s">
        <v>46</v>
      </c>
    </row>
    <row r="356" spans="1:11" x14ac:dyDescent="0.25">
      <c r="A356" s="18" t="str">
        <f xml:space="preserve">  MapNameLkup</f>
        <v>m_ofs_trex_ar_invoices</v>
      </c>
      <c r="B356" s="1" t="s">
        <v>861</v>
      </c>
      <c r="C356" s="1"/>
      <c r="D356" s="1" t="s">
        <v>863</v>
      </c>
      <c r="E356" s="1" t="s">
        <v>130</v>
      </c>
      <c r="F356" s="1"/>
      <c r="G356" s="1"/>
      <c r="H356" s="1"/>
      <c r="I356" s="1" t="s">
        <v>41</v>
      </c>
      <c r="J356" s="1"/>
      <c r="K356" s="1" t="s">
        <v>46</v>
      </c>
    </row>
    <row r="357" spans="1:11" x14ac:dyDescent="0.25">
      <c r="A357" s="18" t="str">
        <f xml:space="preserve">  MapNameLkup</f>
        <v>m_ofs_trex_ar_invoices</v>
      </c>
      <c r="B357" s="1" t="s">
        <v>861</v>
      </c>
      <c r="C357" s="1"/>
      <c r="D357" s="1" t="s">
        <v>863</v>
      </c>
      <c r="E357" s="1" t="s">
        <v>873</v>
      </c>
      <c r="F357" s="1"/>
      <c r="G357" s="1"/>
      <c r="H357" s="1"/>
      <c r="I357" s="1" t="s">
        <v>41</v>
      </c>
      <c r="J357" s="1"/>
      <c r="K357" s="1" t="s">
        <v>947</v>
      </c>
    </row>
    <row r="358" spans="1:11" x14ac:dyDescent="0.25">
      <c r="A358" s="18" t="str">
        <f xml:space="preserve">  MapNameLkup</f>
        <v>m_ofs_trex_ar_invoices</v>
      </c>
      <c r="B358" s="1" t="s">
        <v>861</v>
      </c>
      <c r="C358" s="1"/>
      <c r="D358" s="1" t="s">
        <v>863</v>
      </c>
      <c r="E358" s="1" t="s">
        <v>874</v>
      </c>
      <c r="F358" s="1"/>
      <c r="G358" s="1"/>
      <c r="H358" s="1"/>
      <c r="I358" s="1" t="s">
        <v>41</v>
      </c>
      <c r="J358" s="1"/>
      <c r="K358" s="1" t="s">
        <v>947</v>
      </c>
    </row>
    <row r="359" spans="1:11" x14ac:dyDescent="0.25">
      <c r="A359" s="18" t="str">
        <f xml:space="preserve">  MapNameLkup</f>
        <v>m_ofs_trex_ar_invoices</v>
      </c>
      <c r="B359" s="1" t="s">
        <v>861</v>
      </c>
      <c r="C359" s="1"/>
      <c r="D359" s="1" t="s">
        <v>863</v>
      </c>
      <c r="E359" s="1" t="s">
        <v>875</v>
      </c>
      <c r="F359" s="1"/>
      <c r="G359" s="1"/>
      <c r="H359" s="1"/>
      <c r="I359" s="1" t="s">
        <v>41</v>
      </c>
      <c r="J359" s="1"/>
      <c r="K359" s="1" t="s">
        <v>947</v>
      </c>
    </row>
    <row r="360" spans="1:11" x14ac:dyDescent="0.25">
      <c r="A360" s="18" t="str">
        <f xml:space="preserve">  MapNameLkup</f>
        <v>m_ofs_trex_ar_invoices</v>
      </c>
      <c r="B360" s="1" t="s">
        <v>861</v>
      </c>
      <c r="C360" s="1"/>
      <c r="D360" s="1" t="s">
        <v>863</v>
      </c>
      <c r="E360" s="1" t="s">
        <v>876</v>
      </c>
      <c r="F360" s="1"/>
      <c r="G360" s="1"/>
      <c r="H360" s="1"/>
      <c r="I360" s="1" t="s">
        <v>41</v>
      </c>
      <c r="J360" s="1"/>
      <c r="K360" s="1" t="s">
        <v>947</v>
      </c>
    </row>
    <row r="361" spans="1:11" x14ac:dyDescent="0.25">
      <c r="A361" s="18" t="str">
        <f xml:space="preserve">  MapNameLkup</f>
        <v>m_ofs_trex_ar_invoices</v>
      </c>
      <c r="B361" s="1" t="s">
        <v>861</v>
      </c>
      <c r="C361" s="1"/>
      <c r="D361" s="1" t="s">
        <v>863</v>
      </c>
      <c r="E361" s="1" t="s">
        <v>877</v>
      </c>
      <c r="F361" s="1"/>
      <c r="G361" s="1"/>
      <c r="H361" s="1"/>
      <c r="I361" s="1" t="s">
        <v>41</v>
      </c>
      <c r="J361" s="1"/>
      <c r="K361" s="1" t="s">
        <v>947</v>
      </c>
    </row>
    <row r="362" spans="1:11" x14ac:dyDescent="0.25">
      <c r="A362" s="18" t="str">
        <f xml:space="preserve">  MapNameLkup</f>
        <v>m_ofs_trex_ar_invoices</v>
      </c>
      <c r="B362" s="1" t="s">
        <v>861</v>
      </c>
      <c r="C362" s="1"/>
      <c r="D362" s="1" t="s">
        <v>863</v>
      </c>
      <c r="E362" s="1" t="s">
        <v>878</v>
      </c>
      <c r="F362" s="1"/>
      <c r="G362" s="1"/>
      <c r="H362" s="1"/>
      <c r="I362" s="1" t="s">
        <v>41</v>
      </c>
      <c r="J362" s="1"/>
      <c r="K362" s="1" t="s">
        <v>947</v>
      </c>
    </row>
    <row r="363" spans="1:11" x14ac:dyDescent="0.25">
      <c r="A363" s="18" t="str">
        <f xml:space="preserve">  MapNameLkup</f>
        <v>m_ofs_trex_ar_invoices</v>
      </c>
      <c r="B363" s="1" t="s">
        <v>861</v>
      </c>
      <c r="C363" s="1"/>
      <c r="D363" s="1" t="s">
        <v>863</v>
      </c>
      <c r="E363" s="1" t="s">
        <v>137</v>
      </c>
      <c r="F363" s="1"/>
      <c r="G363" s="1"/>
      <c r="H363" s="1"/>
      <c r="I363" s="1" t="s">
        <v>41</v>
      </c>
      <c r="J363" s="1"/>
      <c r="K363" s="1" t="s">
        <v>46</v>
      </c>
    </row>
    <row r="364" spans="1:11" x14ac:dyDescent="0.25">
      <c r="A364" s="18" t="str">
        <f xml:space="preserve">  MapNameLkup</f>
        <v>m_ofs_trex_ar_invoices</v>
      </c>
      <c r="B364" s="1" t="s">
        <v>861</v>
      </c>
      <c r="C364" s="1"/>
      <c r="D364" s="1" t="s">
        <v>863</v>
      </c>
      <c r="E364" s="1" t="s">
        <v>138</v>
      </c>
      <c r="F364" s="1"/>
      <c r="G364" s="1"/>
      <c r="H364" s="1"/>
      <c r="I364" s="1" t="s">
        <v>41</v>
      </c>
      <c r="J364" s="1"/>
      <c r="K364" s="1" t="s">
        <v>46</v>
      </c>
    </row>
    <row r="365" spans="1:11" x14ac:dyDescent="0.25">
      <c r="A365" s="18" t="str">
        <f xml:space="preserve">  MapNameLkup</f>
        <v>m_ofs_trex_ar_invoices</v>
      </c>
      <c r="B365" s="1" t="s">
        <v>861</v>
      </c>
      <c r="C365" s="1"/>
      <c r="D365" s="1" t="s">
        <v>863</v>
      </c>
      <c r="E365" s="1" t="s">
        <v>139</v>
      </c>
      <c r="F365" s="1"/>
      <c r="G365" s="1"/>
      <c r="H365" s="1"/>
      <c r="I365" s="1" t="s">
        <v>41</v>
      </c>
      <c r="J365" s="1"/>
      <c r="K365" s="1" t="s">
        <v>46</v>
      </c>
    </row>
    <row r="366" spans="1:11" x14ac:dyDescent="0.25">
      <c r="A366" s="18" t="str">
        <f xml:space="preserve">  MapNameLkup</f>
        <v>m_ofs_trex_ar_invoices</v>
      </c>
      <c r="B366" s="1" t="s">
        <v>861</v>
      </c>
      <c r="C366" s="1"/>
      <c r="D366" s="1" t="s">
        <v>863</v>
      </c>
      <c r="E366" s="1" t="s">
        <v>140</v>
      </c>
      <c r="F366" s="1"/>
      <c r="G366" s="1"/>
      <c r="H366" s="1"/>
      <c r="I366" s="1" t="s">
        <v>41</v>
      </c>
      <c r="J366" s="1"/>
      <c r="K366" s="1" t="s">
        <v>46</v>
      </c>
    </row>
    <row r="367" spans="1:11" x14ac:dyDescent="0.25">
      <c r="A367" s="18" t="str">
        <f xml:space="preserve">  MapNameLkup</f>
        <v>m_ofs_trex_ar_invoices</v>
      </c>
      <c r="B367" s="1" t="s">
        <v>861</v>
      </c>
      <c r="C367" s="1"/>
      <c r="D367" s="1" t="s">
        <v>863</v>
      </c>
      <c r="E367" s="1" t="s">
        <v>141</v>
      </c>
      <c r="F367" s="1"/>
      <c r="G367" s="1"/>
      <c r="H367" s="1"/>
      <c r="I367" s="1" t="s">
        <v>41</v>
      </c>
      <c r="J367" s="1"/>
      <c r="K367" s="1" t="s">
        <v>46</v>
      </c>
    </row>
    <row r="368" spans="1:11" x14ac:dyDescent="0.25">
      <c r="A368" s="18" t="str">
        <f xml:space="preserve">  MapNameLkup</f>
        <v>m_ofs_trex_ar_invoices</v>
      </c>
      <c r="B368" s="1" t="s">
        <v>861</v>
      </c>
      <c r="C368" s="1"/>
      <c r="D368" s="1" t="s">
        <v>863</v>
      </c>
      <c r="E368" s="1" t="s">
        <v>142</v>
      </c>
      <c r="F368" s="1"/>
      <c r="G368" s="1"/>
      <c r="H368" s="1"/>
      <c r="I368" s="1" t="s">
        <v>41</v>
      </c>
      <c r="J368" s="1"/>
      <c r="K368" s="1" t="s">
        <v>45</v>
      </c>
    </row>
    <row r="369" spans="1:11" x14ac:dyDescent="0.25">
      <c r="A369" s="18" t="str">
        <f xml:space="preserve">  MapNameLkup</f>
        <v>m_ofs_trex_ar_invoices</v>
      </c>
      <c r="B369" s="1" t="s">
        <v>861</v>
      </c>
      <c r="C369" s="1"/>
      <c r="D369" s="1" t="s">
        <v>863</v>
      </c>
      <c r="E369" s="1" t="s">
        <v>143</v>
      </c>
      <c r="F369" s="1"/>
      <c r="G369" s="1"/>
      <c r="H369" s="1"/>
      <c r="I369" s="1" t="s">
        <v>41</v>
      </c>
      <c r="J369" s="1"/>
      <c r="K369" s="1" t="s">
        <v>45</v>
      </c>
    </row>
    <row r="370" spans="1:11" x14ac:dyDescent="0.25">
      <c r="A370" s="18" t="str">
        <f xml:space="preserve">  MapNameLkup</f>
        <v>m_ofs_trex_ar_invoices</v>
      </c>
      <c r="B370" s="1" t="s">
        <v>861</v>
      </c>
      <c r="C370" s="1"/>
      <c r="D370" s="1" t="s">
        <v>863</v>
      </c>
      <c r="E370" s="1" t="s">
        <v>144</v>
      </c>
      <c r="F370" s="1"/>
      <c r="G370" s="1"/>
      <c r="H370" s="1"/>
      <c r="I370" s="1" t="s">
        <v>41</v>
      </c>
      <c r="J370" s="1"/>
      <c r="K370" s="1" t="s">
        <v>45</v>
      </c>
    </row>
    <row r="371" spans="1:11" x14ac:dyDescent="0.25">
      <c r="A371" s="18" t="str">
        <f xml:space="preserve">  MapNameLkup</f>
        <v>m_ofs_trex_ar_invoices</v>
      </c>
      <c r="B371" s="1" t="s">
        <v>861</v>
      </c>
      <c r="C371" s="1"/>
      <c r="D371" s="1" t="s">
        <v>863</v>
      </c>
      <c r="E371" s="1" t="s">
        <v>145</v>
      </c>
      <c r="F371" s="1"/>
      <c r="G371" s="1"/>
      <c r="H371" s="1"/>
      <c r="I371" s="1" t="s">
        <v>41</v>
      </c>
      <c r="J371" s="1"/>
      <c r="K371" s="1" t="s">
        <v>45</v>
      </c>
    </row>
    <row r="372" spans="1:11" x14ac:dyDescent="0.25">
      <c r="A372" s="18" t="str">
        <f xml:space="preserve">  MapNameLkup</f>
        <v>m_ofs_trex_ar_invoices</v>
      </c>
      <c r="B372" s="1" t="s">
        <v>861</v>
      </c>
      <c r="C372" s="1"/>
      <c r="D372" s="1" t="s">
        <v>863</v>
      </c>
      <c r="E372" s="1" t="s">
        <v>146</v>
      </c>
      <c r="F372" s="1"/>
      <c r="G372" s="1"/>
      <c r="H372" s="1"/>
      <c r="I372" s="1" t="s">
        <v>41</v>
      </c>
      <c r="J372" s="1"/>
      <c r="K372" s="1" t="s">
        <v>44</v>
      </c>
    </row>
    <row r="373" spans="1:11" x14ac:dyDescent="0.25">
      <c r="A373" s="18" t="str">
        <f xml:space="preserve">  MapNameLkup</f>
        <v>m_ofs_trex_ar_invoices</v>
      </c>
      <c r="B373" s="1" t="s">
        <v>861</v>
      </c>
      <c r="C373" s="1"/>
      <c r="D373" s="1" t="s">
        <v>863</v>
      </c>
      <c r="E373" s="1" t="s">
        <v>147</v>
      </c>
      <c r="F373" s="1"/>
      <c r="G373" s="1"/>
      <c r="H373" s="1"/>
      <c r="I373" s="1" t="s">
        <v>41</v>
      </c>
      <c r="J373" s="1"/>
      <c r="K373" s="1" t="s">
        <v>46</v>
      </c>
    </row>
    <row r="374" spans="1:11" x14ac:dyDescent="0.25">
      <c r="A374" s="18" t="str">
        <f xml:space="preserve">  MapNameLkup</f>
        <v>m_ofs_trex_ar_invoices</v>
      </c>
      <c r="B374" s="1" t="s">
        <v>861</v>
      </c>
      <c r="C374" s="1"/>
      <c r="D374" s="1" t="s">
        <v>863</v>
      </c>
      <c r="E374" s="1" t="s">
        <v>879</v>
      </c>
      <c r="F374" s="1"/>
      <c r="G374" s="1"/>
      <c r="H374" s="1"/>
      <c r="I374" s="1" t="s">
        <v>41</v>
      </c>
      <c r="J374" s="1"/>
      <c r="K374" s="1" t="s">
        <v>46</v>
      </c>
    </row>
    <row r="375" spans="1:11" x14ac:dyDescent="0.25">
      <c r="A375" s="18" t="str">
        <f xml:space="preserve">  MapNameLkup</f>
        <v>m_ofs_trex_ar_invoices</v>
      </c>
      <c r="B375" s="1" t="s">
        <v>861</v>
      </c>
      <c r="C375" s="1"/>
      <c r="D375" s="1" t="s">
        <v>863</v>
      </c>
      <c r="E375" s="1" t="s">
        <v>880</v>
      </c>
      <c r="F375" s="1"/>
      <c r="G375" s="1"/>
      <c r="H375" s="1"/>
      <c r="I375" s="1" t="s">
        <v>41</v>
      </c>
      <c r="J375" s="1"/>
      <c r="K375" s="1" t="s">
        <v>46</v>
      </c>
    </row>
    <row r="376" spans="1:11" x14ac:dyDescent="0.25">
      <c r="A376" s="18" t="str">
        <f xml:space="preserve">  MapNameLkup</f>
        <v>m_ofs_trex_ar_invoices</v>
      </c>
      <c r="B376" s="1" t="s">
        <v>861</v>
      </c>
      <c r="C376" s="1"/>
      <c r="D376" s="1" t="s">
        <v>863</v>
      </c>
      <c r="E376" s="1" t="s">
        <v>866</v>
      </c>
      <c r="F376" s="1"/>
      <c r="G376" s="1"/>
      <c r="H376" s="1"/>
      <c r="I376" s="1" t="s">
        <v>41</v>
      </c>
      <c r="J376" s="1"/>
      <c r="K376" s="1" t="s">
        <v>45</v>
      </c>
    </row>
    <row r="377" spans="1:11" x14ac:dyDescent="0.25">
      <c r="A377" s="18" t="str">
        <f xml:space="preserve">  MapNameLkup</f>
        <v>m_ofs_trex_ar_invoices</v>
      </c>
      <c r="B377" s="1" t="s">
        <v>861</v>
      </c>
      <c r="C377" s="1"/>
      <c r="D377" s="1" t="s">
        <v>863</v>
      </c>
      <c r="E377" s="1" t="s">
        <v>881</v>
      </c>
      <c r="F377" s="1"/>
      <c r="G377" s="1"/>
      <c r="H377" s="1"/>
      <c r="I377" s="1" t="s">
        <v>41</v>
      </c>
      <c r="J377" s="1"/>
      <c r="K377" s="1" t="s">
        <v>46</v>
      </c>
    </row>
    <row r="378" spans="1:11" x14ac:dyDescent="0.25">
      <c r="A378" s="18" t="str">
        <f xml:space="preserve">  MapNameLkup</f>
        <v>m_ofs_trex_ar_invoices</v>
      </c>
      <c r="B378" s="1" t="s">
        <v>862</v>
      </c>
      <c r="C378" s="1"/>
      <c r="D378" s="1" t="s">
        <v>66</v>
      </c>
      <c r="E378" s="1" t="s">
        <v>864</v>
      </c>
      <c r="F378" s="1"/>
      <c r="G378" s="1"/>
      <c r="H378" s="1"/>
      <c r="I378" s="1" t="s">
        <v>41</v>
      </c>
      <c r="J378" s="1"/>
      <c r="K378" s="1" t="s">
        <v>46</v>
      </c>
    </row>
    <row r="379" spans="1:11" x14ac:dyDescent="0.25">
      <c r="A379" s="18" t="str">
        <f xml:space="preserve">  MapNameLkup</f>
        <v>m_ofs_trex_ar_invoices</v>
      </c>
      <c r="B379" s="1" t="s">
        <v>862</v>
      </c>
      <c r="C379" s="1"/>
      <c r="D379" s="1" t="s">
        <v>66</v>
      </c>
      <c r="E379" s="1" t="s">
        <v>123</v>
      </c>
      <c r="F379" s="1"/>
      <c r="G379" s="1"/>
      <c r="H379" s="1"/>
      <c r="I379" s="1" t="s">
        <v>41</v>
      </c>
      <c r="J379" s="1"/>
      <c r="K379" s="1" t="s">
        <v>44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8" tint="-0.499984740745262"/>
  </sheetPr>
  <dimension ref="A1:H52"/>
  <sheetViews>
    <sheetView showGridLines="0" workbookViewId="0">
      <selection activeCell="A12" sqref="A12"/>
    </sheetView>
  </sheetViews>
  <sheetFormatPr defaultRowHeight="15" x14ac:dyDescent="0.25"/>
  <cols>
    <col min="1" max="1" width="31.85546875" bestFit="1" customWidth="1"/>
    <col min="2" max="2" width="33.42578125" bestFit="1" customWidth="1"/>
    <col min="3" max="3" width="15" bestFit="1" customWidth="1"/>
    <col min="4" max="4" width="26" bestFit="1" customWidth="1"/>
    <col min="5" max="5" width="18.140625" bestFit="1" customWidth="1"/>
    <col min="6" max="6" width="12.5703125" bestFit="1" customWidth="1"/>
    <col min="7" max="7" width="33.42578125" bestFit="1" customWidth="1"/>
    <col min="8" max="8" width="34.5703125" bestFit="1" customWidth="1"/>
    <col min="10" max="10" width="32.5703125" customWidth="1"/>
    <col min="11" max="11" width="16.28515625" bestFit="1" customWidth="1"/>
    <col min="12" max="12" width="29" customWidth="1"/>
    <col min="13" max="13" width="31" customWidth="1"/>
  </cols>
  <sheetData>
    <row r="1" spans="1:8" x14ac:dyDescent="0.25">
      <c r="A1" t="s">
        <v>16</v>
      </c>
      <c r="B1" t="s">
        <v>48</v>
      </c>
      <c r="C1" t="s">
        <v>2</v>
      </c>
      <c r="D1" t="s">
        <v>49</v>
      </c>
      <c r="E1" t="s">
        <v>5</v>
      </c>
      <c r="F1" t="s">
        <v>9</v>
      </c>
      <c r="G1" t="s">
        <v>50</v>
      </c>
      <c r="H1" t="s">
        <v>86</v>
      </c>
    </row>
    <row r="2" spans="1:8" x14ac:dyDescent="0.25">
      <c r="A2" s="18" t="str">
        <f t="shared" ref="A2:A7" si="0" xml:space="preserve"> MapNameLkup</f>
        <v>m_ofs_trex_ar_invoices</v>
      </c>
      <c r="B2" s="1" t="s">
        <v>99</v>
      </c>
      <c r="C2" s="1"/>
      <c r="D2" s="1" t="s">
        <v>51</v>
      </c>
      <c r="E2" s="1" t="s">
        <v>13</v>
      </c>
      <c r="F2" s="1"/>
      <c r="G2" s="1"/>
      <c r="H2" s="1" t="s">
        <v>99</v>
      </c>
    </row>
    <row r="3" spans="1:8" x14ac:dyDescent="0.25">
      <c r="A3" s="18" t="str">
        <f t="shared" si="0"/>
        <v>m_ofs_trex_ar_invoices</v>
      </c>
      <c r="B3" s="1" t="s">
        <v>829</v>
      </c>
      <c r="C3" s="1"/>
      <c r="D3" s="1" t="s">
        <v>51</v>
      </c>
      <c r="E3" s="1" t="s">
        <v>13</v>
      </c>
      <c r="F3" s="1"/>
      <c r="G3" s="1"/>
      <c r="H3" s="1" t="s">
        <v>829</v>
      </c>
    </row>
    <row r="4" spans="1:8" x14ac:dyDescent="0.25">
      <c r="A4" s="18" t="str">
        <f t="shared" si="0"/>
        <v>m_ofs_trex_ar_invoices</v>
      </c>
      <c r="B4" s="1" t="s">
        <v>91</v>
      </c>
      <c r="C4" s="3"/>
      <c r="D4" s="1" t="s">
        <v>51</v>
      </c>
      <c r="E4" s="1" t="s">
        <v>13</v>
      </c>
      <c r="F4" s="1"/>
      <c r="G4" s="1"/>
      <c r="H4" s="1" t="s">
        <v>953</v>
      </c>
    </row>
    <row r="5" spans="1:8" x14ac:dyDescent="0.25">
      <c r="A5" s="18" t="str">
        <f t="shared" si="0"/>
        <v>m_ofs_trex_ar_invoices</v>
      </c>
      <c r="B5" s="1" t="s">
        <v>91</v>
      </c>
      <c r="C5" s="1"/>
      <c r="D5" s="1" t="s">
        <v>51</v>
      </c>
      <c r="E5" s="1" t="s">
        <v>13</v>
      </c>
      <c r="F5" s="1"/>
      <c r="G5" s="1"/>
      <c r="H5" s="1" t="s">
        <v>954</v>
      </c>
    </row>
    <row r="6" spans="1:8" x14ac:dyDescent="0.25">
      <c r="A6" s="18" t="str">
        <f t="shared" si="0"/>
        <v>m_ofs_trex_ar_invoices</v>
      </c>
      <c r="B6" s="1" t="s">
        <v>828</v>
      </c>
      <c r="C6" s="3"/>
      <c r="D6" s="1" t="s">
        <v>51</v>
      </c>
      <c r="E6" s="1" t="s">
        <v>13</v>
      </c>
      <c r="F6" s="1"/>
      <c r="G6" s="1"/>
      <c r="H6" s="1" t="s">
        <v>828</v>
      </c>
    </row>
    <row r="7" spans="1:8" x14ac:dyDescent="0.25">
      <c r="A7" s="18" t="str">
        <f t="shared" si="0"/>
        <v>m_ofs_trex_ar_invoices</v>
      </c>
      <c r="B7" s="1" t="s">
        <v>104</v>
      </c>
      <c r="C7" s="3"/>
      <c r="D7" s="1" t="s">
        <v>52</v>
      </c>
      <c r="E7" s="1" t="s">
        <v>4</v>
      </c>
      <c r="F7" s="1" t="s">
        <v>105</v>
      </c>
      <c r="G7" s="1"/>
      <c r="H7" s="1" t="s">
        <v>104</v>
      </c>
    </row>
    <row r="8" spans="1:8" x14ac:dyDescent="0.25">
      <c r="A8" s="18" t="str">
        <f t="shared" ref="A8" si="1" xml:space="preserve"> MapNameLkup</f>
        <v>m_ofs_trex_ar_invoices</v>
      </c>
      <c r="B8" s="1" t="s">
        <v>103</v>
      </c>
      <c r="C8" s="1"/>
      <c r="D8" s="1" t="s">
        <v>52</v>
      </c>
      <c r="E8" s="1" t="s">
        <v>4</v>
      </c>
      <c r="F8" s="1" t="s">
        <v>105</v>
      </c>
      <c r="G8" s="1"/>
      <c r="H8" s="1" t="s">
        <v>103</v>
      </c>
    </row>
    <row r="9" spans="1:8" x14ac:dyDescent="0.25">
      <c r="A9" s="18" t="str">
        <f xml:space="preserve"> MapNameLkup</f>
        <v>m_ofs_trex_ar_invoices</v>
      </c>
      <c r="B9" s="1" t="s">
        <v>948</v>
      </c>
      <c r="C9" s="1"/>
      <c r="D9" s="1" t="s">
        <v>950</v>
      </c>
      <c r="E9" s="1" t="s">
        <v>14</v>
      </c>
      <c r="F9" s="1"/>
      <c r="G9" s="1"/>
      <c r="H9" s="3" t="s">
        <v>948</v>
      </c>
    </row>
    <row r="10" spans="1:8" x14ac:dyDescent="0.25">
      <c r="A10" s="18" t="str">
        <f xml:space="preserve"> MapNameLkup</f>
        <v>m_ofs_trex_ar_invoices</v>
      </c>
      <c r="B10" s="1" t="s">
        <v>949</v>
      </c>
      <c r="C10" s="1"/>
      <c r="D10" s="1" t="s">
        <v>950</v>
      </c>
      <c r="E10" s="1" t="s">
        <v>14</v>
      </c>
      <c r="F10" s="1"/>
      <c r="G10" s="1"/>
      <c r="H10" s="3" t="s">
        <v>949</v>
      </c>
    </row>
    <row r="11" spans="1:8" x14ac:dyDescent="0.25">
      <c r="A11" s="18" t="str">
        <f xml:space="preserve"> MapNameLkup</f>
        <v>m_ofs_trex_ar_invoices</v>
      </c>
      <c r="B11" s="1" t="s">
        <v>102</v>
      </c>
      <c r="C11" s="1"/>
      <c r="D11" s="1" t="s">
        <v>52</v>
      </c>
      <c r="E11" s="1" t="s">
        <v>4</v>
      </c>
      <c r="F11" s="1" t="s">
        <v>105</v>
      </c>
      <c r="G11" s="1"/>
      <c r="H11" s="3" t="s">
        <v>952</v>
      </c>
    </row>
    <row r="12" spans="1:8" x14ac:dyDescent="0.25">
      <c r="A12" s="18" t="str">
        <f xml:space="preserve"> MapNameLkup</f>
        <v>m_ofs_trex_ar_invoices</v>
      </c>
      <c r="B12" s="1" t="s">
        <v>845</v>
      </c>
      <c r="C12" s="1"/>
      <c r="D12" s="1" t="s">
        <v>7</v>
      </c>
      <c r="E12" s="1" t="s">
        <v>14</v>
      </c>
      <c r="F12" s="1"/>
      <c r="G12" s="1" t="s">
        <v>103</v>
      </c>
      <c r="H12" s="3" t="s">
        <v>845</v>
      </c>
    </row>
    <row r="13" spans="1:8" x14ac:dyDescent="0.25">
      <c r="A13" s="18" t="str">
        <f xml:space="preserve"> MapNameLkup</f>
        <v>m_ofs_trex_ar_invoices</v>
      </c>
      <c r="B13" s="1" t="s">
        <v>845</v>
      </c>
      <c r="C13" s="1"/>
      <c r="D13" s="1" t="s">
        <v>7</v>
      </c>
      <c r="E13" s="1" t="s">
        <v>14</v>
      </c>
      <c r="F13" s="1"/>
      <c r="G13" s="1" t="s">
        <v>102</v>
      </c>
      <c r="H13" s="3" t="s">
        <v>845</v>
      </c>
    </row>
    <row r="14" spans="1:8" x14ac:dyDescent="0.25">
      <c r="A14" s="18" t="str">
        <f xml:space="preserve"> MapNameLkup</f>
        <v>m_ofs_trex_ar_invoices</v>
      </c>
      <c r="B14" s="1" t="s">
        <v>845</v>
      </c>
      <c r="C14" s="1"/>
      <c r="D14" s="1" t="s">
        <v>7</v>
      </c>
      <c r="E14" s="1" t="s">
        <v>14</v>
      </c>
      <c r="F14" s="1"/>
      <c r="G14" s="1" t="s">
        <v>101</v>
      </c>
      <c r="H14" s="3" t="s">
        <v>845</v>
      </c>
    </row>
    <row r="15" spans="1:8" x14ac:dyDescent="0.25">
      <c r="A15" s="18" t="str">
        <f xml:space="preserve"> MapNameLkup</f>
        <v>m_ofs_trex_ar_invoices</v>
      </c>
      <c r="B15" s="1" t="s">
        <v>845</v>
      </c>
      <c r="C15" s="1"/>
      <c r="D15" s="1" t="s">
        <v>7</v>
      </c>
      <c r="E15" s="1" t="s">
        <v>14</v>
      </c>
      <c r="F15" s="1"/>
      <c r="G15" s="1" t="s">
        <v>92</v>
      </c>
      <c r="H15" s="3" t="s">
        <v>845</v>
      </c>
    </row>
    <row r="16" spans="1:8" x14ac:dyDescent="0.25">
      <c r="A16" s="18" t="str">
        <f xml:space="preserve"> MapNameLkup</f>
        <v>m_ofs_trex_ar_invoices</v>
      </c>
      <c r="B16" s="1" t="s">
        <v>845</v>
      </c>
      <c r="C16" s="1"/>
      <c r="D16" s="1" t="s">
        <v>7</v>
      </c>
      <c r="E16" s="1" t="s">
        <v>14</v>
      </c>
      <c r="F16" s="1"/>
      <c r="G16" s="1" t="s">
        <v>94</v>
      </c>
      <c r="H16" s="3" t="s">
        <v>845</v>
      </c>
    </row>
    <row r="17" spans="1:8" x14ac:dyDescent="0.25">
      <c r="A17" s="18" t="str">
        <f xml:space="preserve"> MapNameLkup</f>
        <v>m_ofs_trex_ar_invoices</v>
      </c>
      <c r="B17" s="1" t="s">
        <v>845</v>
      </c>
      <c r="C17" s="1"/>
      <c r="D17" s="1" t="s">
        <v>7</v>
      </c>
      <c r="E17" s="1" t="s">
        <v>14</v>
      </c>
      <c r="F17" s="1"/>
      <c r="G17" s="1" t="s">
        <v>104</v>
      </c>
      <c r="H17" s="3" t="s">
        <v>845</v>
      </c>
    </row>
    <row r="18" spans="1:8" x14ac:dyDescent="0.25">
      <c r="A18" s="18" t="str">
        <f xml:space="preserve"> MapNameLkup</f>
        <v>m_ofs_trex_ar_invoices</v>
      </c>
      <c r="B18" s="1" t="s">
        <v>845</v>
      </c>
      <c r="C18" s="1"/>
      <c r="D18" s="1" t="s">
        <v>7</v>
      </c>
      <c r="E18" s="1" t="s">
        <v>14</v>
      </c>
      <c r="F18" s="1"/>
      <c r="G18" s="1" t="s">
        <v>98</v>
      </c>
      <c r="H18" s="3" t="s">
        <v>845</v>
      </c>
    </row>
    <row r="19" spans="1:8" x14ac:dyDescent="0.25">
      <c r="A19" s="18" t="str">
        <f xml:space="preserve"> MapNameLkup</f>
        <v>m_ofs_trex_ar_invoices</v>
      </c>
      <c r="B19" s="1" t="s">
        <v>845</v>
      </c>
      <c r="C19" s="1"/>
      <c r="D19" s="1" t="s">
        <v>7</v>
      </c>
      <c r="E19" s="1" t="s">
        <v>14</v>
      </c>
      <c r="F19" s="1"/>
      <c r="G19" s="1" t="s">
        <v>97</v>
      </c>
      <c r="H19" s="3" t="s">
        <v>845</v>
      </c>
    </row>
    <row r="20" spans="1:8" x14ac:dyDescent="0.25">
      <c r="A20" s="18" t="str">
        <f xml:space="preserve"> MapNameLkup</f>
        <v>m_ofs_trex_ar_invoices</v>
      </c>
      <c r="B20" s="1" t="s">
        <v>845</v>
      </c>
      <c r="C20" s="1"/>
      <c r="D20" s="1" t="s">
        <v>7</v>
      </c>
      <c r="E20" s="1" t="s">
        <v>14</v>
      </c>
      <c r="F20" s="1"/>
      <c r="G20" s="1" t="s">
        <v>96</v>
      </c>
      <c r="H20" s="3" t="s">
        <v>845</v>
      </c>
    </row>
    <row r="21" spans="1:8" x14ac:dyDescent="0.25">
      <c r="A21" s="18" t="str">
        <f xml:space="preserve"> MapNameLkup</f>
        <v>m_ofs_trex_ar_invoices</v>
      </c>
      <c r="B21" s="1" t="s">
        <v>845</v>
      </c>
      <c r="C21" s="1"/>
      <c r="D21" s="1" t="s">
        <v>7</v>
      </c>
      <c r="E21" s="1" t="s">
        <v>14</v>
      </c>
      <c r="F21" s="1"/>
      <c r="G21" s="1" t="s">
        <v>95</v>
      </c>
      <c r="H21" s="3" t="s">
        <v>845</v>
      </c>
    </row>
    <row r="22" spans="1:8" x14ac:dyDescent="0.25">
      <c r="A22" s="18" t="str">
        <f xml:space="preserve"> MapNameLkup</f>
        <v>m_ofs_trex_ar_invoices</v>
      </c>
      <c r="B22" s="1" t="s">
        <v>845</v>
      </c>
      <c r="C22" s="1"/>
      <c r="D22" s="1" t="s">
        <v>7</v>
      </c>
      <c r="E22" s="1" t="s">
        <v>14</v>
      </c>
      <c r="F22" s="1"/>
      <c r="G22" s="1" t="s">
        <v>100</v>
      </c>
      <c r="H22" s="3" t="s">
        <v>845</v>
      </c>
    </row>
    <row r="23" spans="1:8" x14ac:dyDescent="0.25">
      <c r="A23" s="18" t="str">
        <f xml:space="preserve"> MapNameLkup</f>
        <v>m_ofs_trex_ar_invoices</v>
      </c>
      <c r="B23" s="1" t="s">
        <v>845</v>
      </c>
      <c r="C23" s="1"/>
      <c r="D23" s="1" t="s">
        <v>7</v>
      </c>
      <c r="E23" s="1" t="s">
        <v>14</v>
      </c>
      <c r="F23" s="1"/>
      <c r="G23" s="1" t="s">
        <v>93</v>
      </c>
      <c r="H23" s="3" t="s">
        <v>845</v>
      </c>
    </row>
    <row r="24" spans="1:8" x14ac:dyDescent="0.25">
      <c r="A24" s="18" t="str">
        <f xml:space="preserve"> MapNameLkup</f>
        <v>m_ofs_trex_ar_invoices</v>
      </c>
      <c r="B24" s="1" t="s">
        <v>846</v>
      </c>
      <c r="C24" s="1"/>
      <c r="D24" s="1" t="s">
        <v>6</v>
      </c>
      <c r="E24" s="1" t="s">
        <v>14</v>
      </c>
      <c r="F24" s="1"/>
      <c r="G24" s="1"/>
      <c r="H24" s="3" t="s">
        <v>846</v>
      </c>
    </row>
    <row r="25" spans="1:8" x14ac:dyDescent="0.25">
      <c r="A25" s="18" t="str">
        <f xml:space="preserve"> MapNameLkup</f>
        <v>m_ofs_trex_ar_invoices</v>
      </c>
      <c r="B25" s="1" t="s">
        <v>847</v>
      </c>
      <c r="C25" s="1"/>
      <c r="D25" s="1" t="s">
        <v>7</v>
      </c>
      <c r="E25" s="1" t="s">
        <v>14</v>
      </c>
      <c r="F25" s="1"/>
      <c r="G25" s="1" t="s">
        <v>951</v>
      </c>
      <c r="H25" s="3" t="s">
        <v>847</v>
      </c>
    </row>
    <row r="26" spans="1:8" x14ac:dyDescent="0.25">
      <c r="A26" s="18" t="str">
        <f xml:space="preserve"> MapNameLkup</f>
        <v>m_ofs_trex_ar_invoices</v>
      </c>
      <c r="B26" s="1" t="s">
        <v>848</v>
      </c>
      <c r="C26" s="1"/>
      <c r="D26" s="1" t="s">
        <v>7</v>
      </c>
      <c r="E26" s="1" t="s">
        <v>14</v>
      </c>
      <c r="F26" s="1"/>
      <c r="G26" s="1" t="s">
        <v>952</v>
      </c>
      <c r="H26" s="3" t="s">
        <v>848</v>
      </c>
    </row>
    <row r="27" spans="1:8" x14ac:dyDescent="0.25">
      <c r="A27" s="18" t="str">
        <f xml:space="preserve"> MapNameLkup</f>
        <v>m_ofs_trex_ar_invoices</v>
      </c>
      <c r="B27" s="1" t="s">
        <v>849</v>
      </c>
      <c r="C27" s="1"/>
      <c r="D27" s="1" t="s">
        <v>6</v>
      </c>
      <c r="E27" s="1" t="s">
        <v>14</v>
      </c>
      <c r="F27" s="1"/>
      <c r="G27" s="1"/>
      <c r="H27" s="3" t="s">
        <v>849</v>
      </c>
    </row>
    <row r="28" spans="1:8" x14ac:dyDescent="0.25">
      <c r="A28" s="18" t="str">
        <f xml:space="preserve"> MapNameLkup</f>
        <v>m_ofs_trex_ar_invoices</v>
      </c>
      <c r="B28" s="1" t="s">
        <v>850</v>
      </c>
      <c r="C28" s="1"/>
      <c r="D28" s="1" t="s">
        <v>7</v>
      </c>
      <c r="E28" s="1" t="s">
        <v>14</v>
      </c>
      <c r="F28" s="1"/>
      <c r="G28" s="1" t="s">
        <v>99</v>
      </c>
      <c r="H28" s="3" t="s">
        <v>850</v>
      </c>
    </row>
    <row r="29" spans="1:8" x14ac:dyDescent="0.25">
      <c r="A29" s="18" t="str">
        <f xml:space="preserve"> MapNameLkup</f>
        <v>m_ofs_trex_ar_invoices</v>
      </c>
      <c r="B29" s="1" t="s">
        <v>851</v>
      </c>
      <c r="C29" s="1"/>
      <c r="D29" s="1" t="s">
        <v>6</v>
      </c>
      <c r="E29" s="1" t="s">
        <v>14</v>
      </c>
      <c r="F29" s="1"/>
      <c r="G29" s="1"/>
      <c r="H29" s="3" t="s">
        <v>851</v>
      </c>
    </row>
    <row r="30" spans="1:8" x14ac:dyDescent="0.25">
      <c r="A30" s="18" t="str">
        <f xml:space="preserve"> MapNameLkup</f>
        <v>m_ofs_trex_ar_invoices</v>
      </c>
      <c r="B30" s="1" t="s">
        <v>852</v>
      </c>
      <c r="C30" s="1"/>
      <c r="D30" s="1" t="s">
        <v>66</v>
      </c>
      <c r="E30" s="1" t="s">
        <v>14</v>
      </c>
      <c r="F30" s="1"/>
      <c r="G30" s="1"/>
      <c r="H30" s="3" t="s">
        <v>852</v>
      </c>
    </row>
    <row r="31" spans="1:8" x14ac:dyDescent="0.25">
      <c r="A31" s="18" t="str">
        <f xml:space="preserve"> MapNameLkup</f>
        <v>m_ofs_trex_ar_invoices</v>
      </c>
      <c r="B31" s="1" t="s">
        <v>853</v>
      </c>
      <c r="C31" s="1"/>
      <c r="D31" s="1" t="s">
        <v>863</v>
      </c>
      <c r="E31" s="1" t="s">
        <v>14</v>
      </c>
      <c r="F31" s="1"/>
      <c r="G31" s="1"/>
      <c r="H31" s="3" t="s">
        <v>853</v>
      </c>
    </row>
    <row r="32" spans="1:8" x14ac:dyDescent="0.25">
      <c r="A32" s="18" t="str">
        <f xml:space="preserve"> MapNameLkup</f>
        <v>m_ofs_trex_ar_invoices</v>
      </c>
      <c r="B32" s="1" t="s">
        <v>854</v>
      </c>
      <c r="C32" s="1"/>
      <c r="D32" s="1" t="s">
        <v>66</v>
      </c>
      <c r="E32" s="1" t="s">
        <v>14</v>
      </c>
      <c r="F32" s="1"/>
      <c r="G32" s="1"/>
      <c r="H32" s="3" t="s">
        <v>854</v>
      </c>
    </row>
    <row r="33" spans="1:8" x14ac:dyDescent="0.25">
      <c r="A33" s="18" t="str">
        <f xml:space="preserve"> MapNameLkup</f>
        <v>m_ofs_trex_ar_invoices</v>
      </c>
      <c r="B33" s="1" t="s">
        <v>855</v>
      </c>
      <c r="C33" s="1"/>
      <c r="D33" s="1" t="s">
        <v>67</v>
      </c>
      <c r="E33" s="1" t="s">
        <v>14</v>
      </c>
      <c r="F33" s="1"/>
      <c r="G33" s="1"/>
      <c r="H33" s="3" t="s">
        <v>855</v>
      </c>
    </row>
    <row r="34" spans="1:8" x14ac:dyDescent="0.25">
      <c r="A34" s="18" t="str">
        <f xml:space="preserve"> MapNameLkup</f>
        <v>m_ofs_trex_ar_invoices</v>
      </c>
      <c r="B34" s="1" t="s">
        <v>856</v>
      </c>
      <c r="C34" s="1"/>
      <c r="D34" s="1" t="s">
        <v>66</v>
      </c>
      <c r="E34" s="1" t="s">
        <v>14</v>
      </c>
      <c r="F34" s="1"/>
      <c r="G34" s="1"/>
      <c r="H34" s="3" t="s">
        <v>856</v>
      </c>
    </row>
    <row r="35" spans="1:8" x14ac:dyDescent="0.25">
      <c r="A35" s="18" t="str">
        <f xml:space="preserve"> MapNameLkup</f>
        <v>m_ofs_trex_ar_invoices</v>
      </c>
      <c r="B35" s="1" t="s">
        <v>857</v>
      </c>
      <c r="C35" s="1"/>
      <c r="D35" s="1" t="s">
        <v>6</v>
      </c>
      <c r="E35" s="1" t="s">
        <v>14</v>
      </c>
      <c r="F35" s="1"/>
      <c r="G35" s="1"/>
      <c r="H35" s="3" t="s">
        <v>857</v>
      </c>
    </row>
    <row r="36" spans="1:8" x14ac:dyDescent="0.25">
      <c r="A36" s="18" t="str">
        <f xml:space="preserve"> MapNameLkup</f>
        <v>m_ofs_trex_ar_invoices</v>
      </c>
      <c r="B36" s="1" t="s">
        <v>858</v>
      </c>
      <c r="C36" s="1"/>
      <c r="D36" s="1" t="s">
        <v>67</v>
      </c>
      <c r="E36" s="1" t="s">
        <v>14</v>
      </c>
      <c r="F36" s="1"/>
      <c r="G36" s="1"/>
      <c r="H36" s="3" t="s">
        <v>858</v>
      </c>
    </row>
    <row r="37" spans="1:8" x14ac:dyDescent="0.25">
      <c r="A37" s="18" t="str">
        <f xml:space="preserve"> MapNameLkup</f>
        <v>m_ofs_trex_ar_invoices</v>
      </c>
      <c r="B37" s="1" t="s">
        <v>859</v>
      </c>
      <c r="C37" s="1"/>
      <c r="D37" s="1" t="s">
        <v>6</v>
      </c>
      <c r="E37" s="1" t="s">
        <v>14</v>
      </c>
      <c r="F37" s="1"/>
      <c r="G37" s="1"/>
      <c r="H37" s="3" t="s">
        <v>859</v>
      </c>
    </row>
    <row r="38" spans="1:8" x14ac:dyDescent="0.25">
      <c r="A38" s="18" t="str">
        <f xml:space="preserve"> MapNameLkup</f>
        <v>m_ofs_trex_ar_invoices</v>
      </c>
      <c r="B38" s="1" t="s">
        <v>860</v>
      </c>
      <c r="C38" s="1"/>
      <c r="D38" s="1" t="s">
        <v>66</v>
      </c>
      <c r="E38" s="1" t="s">
        <v>14</v>
      </c>
      <c r="F38" s="1"/>
      <c r="G38" s="1"/>
      <c r="H38" s="3" t="s">
        <v>860</v>
      </c>
    </row>
    <row r="39" spans="1:8" x14ac:dyDescent="0.25">
      <c r="A39" s="18" t="str">
        <f xml:space="preserve"> MapNameLkup</f>
        <v>m_ofs_trex_ar_invoices</v>
      </c>
      <c r="B39" s="1" t="s">
        <v>861</v>
      </c>
      <c r="C39" s="1"/>
      <c r="D39" s="1" t="s">
        <v>863</v>
      </c>
      <c r="E39" s="1" t="s">
        <v>14</v>
      </c>
      <c r="F39" s="1"/>
      <c r="G39" s="1"/>
      <c r="H39" s="3" t="s">
        <v>861</v>
      </c>
    </row>
    <row r="40" spans="1:8" x14ac:dyDescent="0.25">
      <c r="A40" s="18" t="str">
        <f xml:space="preserve"> MapNameLkup</f>
        <v>m_ofs_trex_ar_invoices</v>
      </c>
      <c r="B40" s="1" t="s">
        <v>862</v>
      </c>
      <c r="C40" s="1"/>
      <c r="D40" s="1" t="s">
        <v>66</v>
      </c>
      <c r="E40" s="1" t="s">
        <v>14</v>
      </c>
      <c r="F40" s="1"/>
      <c r="G40" s="1"/>
      <c r="H40" s="3" t="s">
        <v>862</v>
      </c>
    </row>
    <row r="41" spans="1:8" x14ac:dyDescent="0.25">
      <c r="A41" s="18" t="str">
        <f xml:space="preserve"> MapNameLkup</f>
        <v>m_ofs_trex_ar_invoices</v>
      </c>
      <c r="B41" s="1" t="s">
        <v>101</v>
      </c>
      <c r="C41" s="1"/>
      <c r="D41" s="1" t="s">
        <v>52</v>
      </c>
      <c r="E41" s="1" t="s">
        <v>4</v>
      </c>
      <c r="F41" s="1" t="s">
        <v>105</v>
      </c>
      <c r="G41" s="1"/>
      <c r="H41" s="3" t="s">
        <v>101</v>
      </c>
    </row>
    <row r="42" spans="1:8" x14ac:dyDescent="0.25">
      <c r="A42" s="18" t="str">
        <f xml:space="preserve"> MapNameLkup</f>
        <v>m_ofs_trex_ar_invoices</v>
      </c>
      <c r="B42" s="1" t="s">
        <v>102</v>
      </c>
      <c r="C42" s="1"/>
      <c r="D42" s="1" t="s">
        <v>52</v>
      </c>
      <c r="E42" s="1" t="s">
        <v>4</v>
      </c>
      <c r="F42" s="1" t="s">
        <v>105</v>
      </c>
      <c r="G42" s="1"/>
      <c r="H42" s="3" t="s">
        <v>102</v>
      </c>
    </row>
    <row r="43" spans="1:8" x14ac:dyDescent="0.25">
      <c r="A43" s="18" t="str">
        <f xml:space="preserve"> MapNameLkup</f>
        <v>m_ofs_trex_ar_invoices</v>
      </c>
      <c r="B43" s="1" t="s">
        <v>100</v>
      </c>
      <c r="C43" s="1"/>
      <c r="D43" s="1" t="s">
        <v>52</v>
      </c>
      <c r="E43" s="1" t="s">
        <v>4</v>
      </c>
      <c r="F43" s="1" t="s">
        <v>105</v>
      </c>
      <c r="G43" s="1"/>
      <c r="H43" s="3" t="s">
        <v>100</v>
      </c>
    </row>
    <row r="44" spans="1:8" x14ac:dyDescent="0.25">
      <c r="A44" s="18" t="str">
        <f xml:space="preserve"> MapNameLkup</f>
        <v>m_ofs_trex_ar_invoices</v>
      </c>
      <c r="B44" s="1" t="s">
        <v>99</v>
      </c>
      <c r="C44" s="1"/>
      <c r="D44" s="1" t="s">
        <v>52</v>
      </c>
      <c r="E44" s="1" t="s">
        <v>4</v>
      </c>
      <c r="F44" s="1" t="s">
        <v>105</v>
      </c>
      <c r="G44" s="1"/>
      <c r="H44" s="3" t="s">
        <v>99</v>
      </c>
    </row>
    <row r="45" spans="1:8" x14ac:dyDescent="0.25">
      <c r="A45" s="18" t="str">
        <f xml:space="preserve"> MapNameLkup</f>
        <v>m_ofs_trex_ar_invoices</v>
      </c>
      <c r="B45" s="1" t="s">
        <v>98</v>
      </c>
      <c r="C45" s="1"/>
      <c r="D45" s="1" t="s">
        <v>52</v>
      </c>
      <c r="E45" s="1" t="s">
        <v>4</v>
      </c>
      <c r="F45" s="1" t="s">
        <v>105</v>
      </c>
      <c r="G45" s="1"/>
      <c r="H45" s="3" t="s">
        <v>98</v>
      </c>
    </row>
    <row r="46" spans="1:8" x14ac:dyDescent="0.25">
      <c r="A46" s="18" t="str">
        <f xml:space="preserve"> MapNameLkup</f>
        <v>m_ofs_trex_ar_invoices</v>
      </c>
      <c r="B46" s="1" t="s">
        <v>97</v>
      </c>
      <c r="C46" s="1"/>
      <c r="D46" s="1" t="s">
        <v>52</v>
      </c>
      <c r="E46" s="1" t="s">
        <v>4</v>
      </c>
      <c r="F46" s="1" t="s">
        <v>105</v>
      </c>
      <c r="G46" s="1"/>
      <c r="H46" s="3" t="s">
        <v>97</v>
      </c>
    </row>
    <row r="47" spans="1:8" x14ac:dyDescent="0.25">
      <c r="A47" s="18" t="str">
        <f xml:space="preserve"> MapNameLkup</f>
        <v>m_ofs_trex_ar_invoices</v>
      </c>
      <c r="B47" s="1" t="s">
        <v>96</v>
      </c>
      <c r="C47" s="1"/>
      <c r="D47" s="1" t="s">
        <v>52</v>
      </c>
      <c r="E47" s="1" t="s">
        <v>4</v>
      </c>
      <c r="F47" s="1" t="s">
        <v>105</v>
      </c>
      <c r="G47" s="1"/>
      <c r="H47" s="3" t="s">
        <v>96</v>
      </c>
    </row>
    <row r="48" spans="1:8" x14ac:dyDescent="0.25">
      <c r="A48" s="18" t="str">
        <f xml:space="preserve"> MapNameLkup</f>
        <v>m_ofs_trex_ar_invoices</v>
      </c>
      <c r="B48" s="1" t="s">
        <v>95</v>
      </c>
      <c r="C48" s="1"/>
      <c r="D48" s="1" t="s">
        <v>52</v>
      </c>
      <c r="E48" s="1" t="s">
        <v>4</v>
      </c>
      <c r="F48" s="1" t="s">
        <v>105</v>
      </c>
      <c r="G48" s="1"/>
      <c r="H48" s="3" t="s">
        <v>95</v>
      </c>
    </row>
    <row r="49" spans="1:8" x14ac:dyDescent="0.25">
      <c r="A49" s="18" t="str">
        <f xml:space="preserve"> MapNameLkup</f>
        <v>m_ofs_trex_ar_invoices</v>
      </c>
      <c r="B49" s="1" t="s">
        <v>94</v>
      </c>
      <c r="C49" s="1"/>
      <c r="D49" s="1" t="s">
        <v>52</v>
      </c>
      <c r="E49" s="1" t="s">
        <v>4</v>
      </c>
      <c r="F49" s="1" t="s">
        <v>105</v>
      </c>
      <c r="G49" s="1"/>
      <c r="H49" s="3" t="s">
        <v>94</v>
      </c>
    </row>
    <row r="50" spans="1:8" x14ac:dyDescent="0.25">
      <c r="A50" s="18" t="str">
        <f xml:space="preserve"> MapNameLkup</f>
        <v>m_ofs_trex_ar_invoices</v>
      </c>
      <c r="B50" s="1" t="s">
        <v>93</v>
      </c>
      <c r="C50" s="1"/>
      <c r="D50" s="1" t="s">
        <v>52</v>
      </c>
      <c r="E50" s="1" t="s">
        <v>4</v>
      </c>
      <c r="F50" s="1" t="s">
        <v>105</v>
      </c>
      <c r="G50" s="1"/>
      <c r="H50" s="3" t="s">
        <v>93</v>
      </c>
    </row>
    <row r="51" spans="1:8" x14ac:dyDescent="0.25">
      <c r="A51" s="18" t="str">
        <f xml:space="preserve"> MapNameLkup</f>
        <v>m_ofs_trex_ar_invoices</v>
      </c>
      <c r="B51" s="1" t="s">
        <v>92</v>
      </c>
      <c r="C51" s="1"/>
      <c r="D51" s="1" t="s">
        <v>52</v>
      </c>
      <c r="E51" s="1" t="s">
        <v>4</v>
      </c>
      <c r="F51" s="1" t="s">
        <v>105</v>
      </c>
      <c r="G51" s="1"/>
      <c r="H51" s="3" t="s">
        <v>92</v>
      </c>
    </row>
    <row r="52" spans="1:8" x14ac:dyDescent="0.25">
      <c r="A52" s="18" t="str">
        <f xml:space="preserve"> MapNameLkup</f>
        <v>m_ofs_trex_ar_invoices</v>
      </c>
      <c r="B52" s="1" t="s">
        <v>91</v>
      </c>
      <c r="C52" s="1"/>
      <c r="D52" s="1" t="s">
        <v>52</v>
      </c>
      <c r="E52" s="1" t="s">
        <v>4</v>
      </c>
      <c r="F52" s="1" t="s">
        <v>87</v>
      </c>
      <c r="G52" s="1"/>
      <c r="H52" s="3" t="s">
        <v>951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8" tint="-0.499984740745262"/>
  </sheetPr>
  <dimension ref="A1:I397"/>
  <sheetViews>
    <sheetView showGridLines="0" workbookViewId="0">
      <selection activeCell="A19" sqref="A19"/>
    </sheetView>
  </sheetViews>
  <sheetFormatPr defaultRowHeight="15" x14ac:dyDescent="0.25"/>
  <cols>
    <col min="1" max="1" width="31.85546875" bestFit="1" customWidth="1"/>
    <col min="2" max="2" width="33.42578125" bestFit="1" customWidth="1"/>
    <col min="3" max="3" width="32.7109375" bestFit="1" customWidth="1"/>
    <col min="4" max="4" width="22.140625" bestFit="1" customWidth="1"/>
    <col min="5" max="5" width="31.7109375" bestFit="1" customWidth="1"/>
    <col min="6" max="6" width="32.28515625" bestFit="1" customWidth="1"/>
    <col min="7" max="7" width="19" bestFit="1" customWidth="1"/>
    <col min="8" max="9" width="34.5703125" bestFit="1" customWidth="1"/>
    <col min="10" max="10" width="74.5703125" bestFit="1" customWidth="1"/>
    <col min="11" max="11" width="12.42578125" customWidth="1"/>
    <col min="12" max="12" width="11.85546875" customWidth="1"/>
    <col min="13" max="13" width="11.42578125" bestFit="1" customWidth="1"/>
  </cols>
  <sheetData>
    <row r="1" spans="1:9" x14ac:dyDescent="0.25">
      <c r="A1" s="7" t="s">
        <v>16</v>
      </c>
      <c r="B1" s="7" t="s">
        <v>53</v>
      </c>
      <c r="C1" s="7" t="s">
        <v>15</v>
      </c>
      <c r="D1" s="7" t="s">
        <v>54</v>
      </c>
      <c r="E1" s="7" t="s">
        <v>55</v>
      </c>
      <c r="F1" s="7" t="s">
        <v>56</v>
      </c>
      <c r="G1" s="7" t="s">
        <v>57</v>
      </c>
      <c r="H1" s="7" t="s">
        <v>59</v>
      </c>
      <c r="I1" s="7" t="s">
        <v>58</v>
      </c>
    </row>
    <row r="2" spans="1:9" x14ac:dyDescent="0.25">
      <c r="A2" s="24" t="str">
        <f t="shared" ref="A2:A5" si="0" xml:space="preserve"> MapNameLkup</f>
        <v>m_ofs_trex_ar_invoices</v>
      </c>
      <c r="B2" s="8" t="s">
        <v>852</v>
      </c>
      <c r="C2" s="8" t="s">
        <v>867</v>
      </c>
      <c r="D2" s="8" t="s">
        <v>66</v>
      </c>
      <c r="E2" s="8" t="s">
        <v>99</v>
      </c>
      <c r="F2" s="9" t="s">
        <v>510</v>
      </c>
      <c r="G2" s="9" t="s">
        <v>51</v>
      </c>
      <c r="H2" s="10" t="str">
        <f>CONCATENATE(Connectors[[#This Row],[FROMINSTANCE]],"::",Connectors[[#This Row],[FROMFIELD]],"::",Connectors[[#This Row],[FROMINSTANCETYPE]])</f>
        <v>UPD_XX_IA_INCREMENTAL_DATES::destination_system::Update Strategy</v>
      </c>
      <c r="I2" s="10" t="str">
        <f>CONCATENATE(Connectors[[#This Row],[TOINSTANCE]],"::",Connectors[[#This Row],[TOFIELD]],"::",Connectors[[#This Row],[TOINSTANCETYPE]])</f>
        <v>XX_IA_INCREMENTAL_DATES::DESTINATION_SYSTEM::Target Definition</v>
      </c>
    </row>
    <row r="3" spans="1:9" x14ac:dyDescent="0.25">
      <c r="A3" s="25" t="str">
        <f t="shared" si="0"/>
        <v>m_ofs_trex_ar_invoices</v>
      </c>
      <c r="B3" s="1" t="s">
        <v>852</v>
      </c>
      <c r="C3" s="1" t="s">
        <v>868</v>
      </c>
      <c r="D3" s="1" t="s">
        <v>66</v>
      </c>
      <c r="E3" s="1" t="s">
        <v>99</v>
      </c>
      <c r="F3" s="1" t="s">
        <v>511</v>
      </c>
      <c r="G3" s="1" t="s">
        <v>51</v>
      </c>
      <c r="H3" s="10" t="str">
        <f>CONCATENATE(Connectors[[#This Row],[FROMINSTANCE]],"::",Connectors[[#This Row],[FROMFIELD]],"::",Connectors[[#This Row],[FROMINSTANCETYPE]])</f>
        <v>UPD_XX_IA_INCREMENTAL_DATES::module::Update Strategy</v>
      </c>
      <c r="I3" s="10" t="str">
        <f>CONCATENATE(Connectors[[#This Row],[TOINSTANCE]],"::",Connectors[[#This Row],[TOFIELD]],"::",Connectors[[#This Row],[TOINSTANCETYPE]])</f>
        <v>XX_IA_INCREMENTAL_DATES::MODULE::Target Definition</v>
      </c>
    </row>
    <row r="4" spans="1:9" x14ac:dyDescent="0.25">
      <c r="A4" s="25" t="str">
        <f t="shared" si="0"/>
        <v>m_ofs_trex_ar_invoices</v>
      </c>
      <c r="B4" s="1" t="s">
        <v>852</v>
      </c>
      <c r="C4" s="1" t="s">
        <v>869</v>
      </c>
      <c r="D4" s="1" t="s">
        <v>66</v>
      </c>
      <c r="E4" s="1" t="s">
        <v>99</v>
      </c>
      <c r="F4" s="1" t="s">
        <v>154</v>
      </c>
      <c r="G4" s="1" t="s">
        <v>51</v>
      </c>
      <c r="H4" s="10" t="str">
        <f>CONCATENATE(Connectors[[#This Row],[FROMINSTANCE]],"::",Connectors[[#This Row],[FROMFIELD]],"::",Connectors[[#This Row],[FROMINSTANCETYPE]])</f>
        <v>UPD_XX_IA_INCREMENTAL_DATES::o_new_last_update_date::Update Strategy</v>
      </c>
      <c r="I4" s="10" t="str">
        <f>CONCATENATE(Connectors[[#This Row],[TOINSTANCE]],"::",Connectors[[#This Row],[TOFIELD]],"::",Connectors[[#This Row],[TOINSTANCETYPE]])</f>
        <v>XX_IA_INCREMENTAL_DATES::LAST_UPDATE_DATE::Target Definition</v>
      </c>
    </row>
    <row r="5" spans="1:9" x14ac:dyDescent="0.25">
      <c r="A5" s="25" t="str">
        <f t="shared" si="0"/>
        <v>m_ofs_trex_ar_invoices</v>
      </c>
      <c r="B5" s="1" t="s">
        <v>862</v>
      </c>
      <c r="C5" s="1" t="s">
        <v>864</v>
      </c>
      <c r="D5" s="1" t="s">
        <v>66</v>
      </c>
      <c r="E5" s="1" t="s">
        <v>829</v>
      </c>
      <c r="F5" s="1" t="s">
        <v>838</v>
      </c>
      <c r="G5" s="1" t="s">
        <v>51</v>
      </c>
      <c r="H5" s="10" t="str">
        <f>CONCATENATE(Connectors[[#This Row],[FROMINSTANCE]],"::",Connectors[[#This Row],[FROMFIELD]],"::",Connectors[[#This Row],[FROMINSTANCETYPE]])</f>
        <v>STRAT_INS_XX_TREX_INCL::o_process_nm::Update Strategy</v>
      </c>
      <c r="I5" s="10" t="str">
        <f>CONCATENATE(Connectors[[#This Row],[TOINSTANCE]],"::",Connectors[[#This Row],[TOFIELD]],"::",Connectors[[#This Row],[TOINSTANCETYPE]])</f>
        <v>XX_TREX_INCL::PROCESS_NM::Target Definition</v>
      </c>
    </row>
    <row r="6" spans="1:9" x14ac:dyDescent="0.25">
      <c r="A6" s="25" t="str">
        <f t="shared" ref="A6:A29" si="1" xml:space="preserve"> MapNameLkup</f>
        <v>m_ofs_trex_ar_invoices</v>
      </c>
      <c r="B6" s="1" t="s">
        <v>862</v>
      </c>
      <c r="C6" s="1" t="s">
        <v>123</v>
      </c>
      <c r="D6" s="1" t="s">
        <v>66</v>
      </c>
      <c r="E6" s="1" t="s">
        <v>829</v>
      </c>
      <c r="F6" s="1" t="s">
        <v>326</v>
      </c>
      <c r="G6" s="1" t="s">
        <v>51</v>
      </c>
      <c r="H6" s="10" t="str">
        <f>CONCATENATE(Connectors[[#This Row],[FROMINSTANCE]],"::",Connectors[[#This Row],[FROMFIELD]],"::",Connectors[[#This Row],[FROMINSTANCETYPE]])</f>
        <v>STRAT_INS_XX_TREX_INCL::customer_trx_id::Update Strategy</v>
      </c>
      <c r="I6" s="10" t="str">
        <f>CONCATENATE(Connectors[[#This Row],[TOINSTANCE]],"::",Connectors[[#This Row],[TOFIELD]],"::",Connectors[[#This Row],[TOINSTANCETYPE]])</f>
        <v>XX_TREX_INCL::CUSTOMER_TRX_ID::Target Definition</v>
      </c>
    </row>
    <row r="7" spans="1:9" x14ac:dyDescent="0.25">
      <c r="A7" s="25" t="str">
        <f t="shared" si="1"/>
        <v>m_ofs_trex_ar_invoices</v>
      </c>
      <c r="B7" s="1" t="s">
        <v>860</v>
      </c>
      <c r="C7" s="1" t="s">
        <v>137</v>
      </c>
      <c r="D7" s="1" t="s">
        <v>66</v>
      </c>
      <c r="E7" s="1" t="s">
        <v>953</v>
      </c>
      <c r="F7" s="1" t="s">
        <v>137</v>
      </c>
      <c r="G7" s="1" t="s">
        <v>51</v>
      </c>
      <c r="H7" s="10" t="str">
        <f>CONCATENATE(Connectors[[#This Row],[FROMINSTANCE]],"::",Connectors[[#This Row],[FROMFIELD]],"::",Connectors[[#This Row],[FROMINSTANCETYPE]])</f>
        <v>UPD_ofs_ar_invoices_insert::currency_code::Update Strategy</v>
      </c>
      <c r="I7" s="10" t="str">
        <f>CONCATENATE(Connectors[[#This Row],[TOINSTANCE]],"::",Connectors[[#This Row],[TOFIELD]],"::",Connectors[[#This Row],[TOINSTANCETYPE]])</f>
        <v>ofs_ar_invoices_insert::currency_code::Target Definition</v>
      </c>
    </row>
    <row r="8" spans="1:9" x14ac:dyDescent="0.25">
      <c r="A8" s="25" t="str">
        <f t="shared" si="1"/>
        <v>m_ofs_trex_ar_invoices</v>
      </c>
      <c r="B8" s="1" t="s">
        <v>860</v>
      </c>
      <c r="C8" s="1" t="s">
        <v>138</v>
      </c>
      <c r="D8" s="1" t="s">
        <v>66</v>
      </c>
      <c r="E8" s="1" t="s">
        <v>953</v>
      </c>
      <c r="F8" s="1" t="s">
        <v>138</v>
      </c>
      <c r="G8" s="1" t="s">
        <v>51</v>
      </c>
      <c r="H8" s="10" t="str">
        <f>CONCATENATE(Connectors[[#This Row],[FROMINSTANCE]],"::",Connectors[[#This Row],[FROMFIELD]],"::",Connectors[[#This Row],[FROMINSTANCETYPE]])</f>
        <v>UPD_ofs_ar_invoices_insert::payment_terms::Update Strategy</v>
      </c>
      <c r="I8" s="10" t="str">
        <f>CONCATENATE(Connectors[[#This Row],[TOINSTANCE]],"::",Connectors[[#This Row],[TOFIELD]],"::",Connectors[[#This Row],[TOINSTANCETYPE]])</f>
        <v>ofs_ar_invoices_insert::payment_terms::Target Definition</v>
      </c>
    </row>
    <row r="9" spans="1:9" x14ac:dyDescent="0.25">
      <c r="A9" s="25" t="str">
        <f t="shared" si="1"/>
        <v>m_ofs_trex_ar_invoices</v>
      </c>
      <c r="B9" s="1" t="s">
        <v>860</v>
      </c>
      <c r="C9" s="1" t="s">
        <v>139</v>
      </c>
      <c r="D9" s="1" t="s">
        <v>66</v>
      </c>
      <c r="E9" s="1" t="s">
        <v>953</v>
      </c>
      <c r="F9" s="1" t="s">
        <v>139</v>
      </c>
      <c r="G9" s="1" t="s">
        <v>51</v>
      </c>
      <c r="H9" s="10" t="str">
        <f>CONCATENATE(Connectors[[#This Row],[FROMINSTANCE]],"::",Connectors[[#This Row],[FROMFIELD]],"::",Connectors[[#This Row],[FROMINSTANCETYPE]])</f>
        <v>UPD_ofs_ar_invoices_insert::receipt_method::Update Strategy</v>
      </c>
      <c r="I9" s="10" t="str">
        <f>CONCATENATE(Connectors[[#This Row],[TOINSTANCE]],"::",Connectors[[#This Row],[TOFIELD]],"::",Connectors[[#This Row],[TOINSTANCETYPE]])</f>
        <v>ofs_ar_invoices_insert::receipt_method::Target Definition</v>
      </c>
    </row>
    <row r="10" spans="1:9" x14ac:dyDescent="0.25">
      <c r="A10" s="25" t="str">
        <f t="shared" si="1"/>
        <v>m_ofs_trex_ar_invoices</v>
      </c>
      <c r="B10" s="1" t="s">
        <v>860</v>
      </c>
      <c r="C10" s="1" t="s">
        <v>140</v>
      </c>
      <c r="D10" s="1" t="s">
        <v>66</v>
      </c>
      <c r="E10" s="1" t="s">
        <v>953</v>
      </c>
      <c r="F10" s="1" t="s">
        <v>140</v>
      </c>
      <c r="G10" s="1" t="s">
        <v>51</v>
      </c>
      <c r="H10" s="10" t="str">
        <f>CONCATENATE(Connectors[[#This Row],[FROMINSTANCE]],"::",Connectors[[#This Row],[FROMFIELD]],"::",Connectors[[#This Row],[FROMINSTANCETYPE]])</f>
        <v>UPD_ofs_ar_invoices_insert::created_by::Update Strategy</v>
      </c>
      <c r="I10" s="10" t="str">
        <f>CONCATENATE(Connectors[[#This Row],[TOINSTANCE]],"::",Connectors[[#This Row],[TOFIELD]],"::",Connectors[[#This Row],[TOINSTANCETYPE]])</f>
        <v>ofs_ar_invoices_insert::created_by::Target Definition</v>
      </c>
    </row>
    <row r="11" spans="1:9" x14ac:dyDescent="0.25">
      <c r="A11" s="25" t="str">
        <f t="shared" si="1"/>
        <v>m_ofs_trex_ar_invoices</v>
      </c>
      <c r="B11" s="1" t="s">
        <v>860</v>
      </c>
      <c r="C11" s="1" t="s">
        <v>141</v>
      </c>
      <c r="D11" s="1" t="s">
        <v>66</v>
      </c>
      <c r="E11" s="1" t="s">
        <v>953</v>
      </c>
      <c r="F11" s="1" t="s">
        <v>141</v>
      </c>
      <c r="G11" s="1" t="s">
        <v>51</v>
      </c>
      <c r="H11" s="10" t="str">
        <f>CONCATENATE(Connectors[[#This Row],[FROMINSTANCE]],"::",Connectors[[#This Row],[FROMFIELD]],"::",Connectors[[#This Row],[FROMINSTANCETYPE]])</f>
        <v>UPD_ofs_ar_invoices_insert::last_updated_by::Update Strategy</v>
      </c>
      <c r="I11" s="10" t="str">
        <f>CONCATENATE(Connectors[[#This Row],[TOINSTANCE]],"::",Connectors[[#This Row],[TOFIELD]],"::",Connectors[[#This Row],[TOINSTANCETYPE]])</f>
        <v>ofs_ar_invoices_insert::last_updated_by::Target Definition</v>
      </c>
    </row>
    <row r="12" spans="1:9" x14ac:dyDescent="0.25">
      <c r="A12" s="25" t="str">
        <f t="shared" si="1"/>
        <v>m_ofs_trex_ar_invoices</v>
      </c>
      <c r="B12" s="1" t="s">
        <v>860</v>
      </c>
      <c r="C12" s="1" t="s">
        <v>142</v>
      </c>
      <c r="D12" s="1" t="s">
        <v>66</v>
      </c>
      <c r="E12" s="1" t="s">
        <v>953</v>
      </c>
      <c r="F12" s="1" t="s">
        <v>142</v>
      </c>
      <c r="G12" s="1" t="s">
        <v>51</v>
      </c>
      <c r="H12" s="10" t="str">
        <f>CONCATENATE(Connectors[[#This Row],[FROMINSTANCE]],"::",Connectors[[#This Row],[FROMFIELD]],"::",Connectors[[#This Row],[FROMINSTANCETYPE]])</f>
        <v>UPD_ofs_ar_invoices_insert::invoice_creation_date::Update Strategy</v>
      </c>
      <c r="I12" s="10" t="str">
        <f>CONCATENATE(Connectors[[#This Row],[TOINSTANCE]],"::",Connectors[[#This Row],[TOFIELD]],"::",Connectors[[#This Row],[TOINSTANCETYPE]])</f>
        <v>ofs_ar_invoices_insert::invoice_creation_date::Target Definition</v>
      </c>
    </row>
    <row r="13" spans="1:9" x14ac:dyDescent="0.25">
      <c r="A13" s="25" t="str">
        <f t="shared" si="1"/>
        <v>m_ofs_trex_ar_invoices</v>
      </c>
      <c r="B13" s="1" t="s">
        <v>860</v>
      </c>
      <c r="C13" s="1" t="s">
        <v>143</v>
      </c>
      <c r="D13" s="1" t="s">
        <v>66</v>
      </c>
      <c r="E13" s="1" t="s">
        <v>953</v>
      </c>
      <c r="F13" s="1" t="s">
        <v>143</v>
      </c>
      <c r="G13" s="1" t="s">
        <v>51</v>
      </c>
      <c r="H13" s="10" t="str">
        <f>CONCATENATE(Connectors[[#This Row],[FROMINSTANCE]],"::",Connectors[[#This Row],[FROMFIELD]],"::",Connectors[[#This Row],[FROMINSTANCETYPE]])</f>
        <v>UPD_ofs_ar_invoices_insert::invoice_last_update_date::Update Strategy</v>
      </c>
      <c r="I13" s="10" t="str">
        <f>CONCATENATE(Connectors[[#This Row],[TOINSTANCE]],"::",Connectors[[#This Row],[TOFIELD]],"::",Connectors[[#This Row],[TOINSTANCETYPE]])</f>
        <v>ofs_ar_invoices_insert::invoice_last_update_date::Target Definition</v>
      </c>
    </row>
    <row r="14" spans="1:9" x14ac:dyDescent="0.25">
      <c r="A14" s="25" t="str">
        <f t="shared" si="1"/>
        <v>m_ofs_trex_ar_invoices</v>
      </c>
      <c r="B14" s="1" t="s">
        <v>860</v>
      </c>
      <c r="C14" s="1" t="s">
        <v>144</v>
      </c>
      <c r="D14" s="1" t="s">
        <v>66</v>
      </c>
      <c r="E14" s="1" t="s">
        <v>953</v>
      </c>
      <c r="F14" s="1" t="s">
        <v>144</v>
      </c>
      <c r="G14" s="1" t="s">
        <v>51</v>
      </c>
      <c r="H14" s="10" t="str">
        <f>CONCATENATE(Connectors[[#This Row],[FROMINSTANCE]],"::",Connectors[[#This Row],[FROMFIELD]],"::",Connectors[[#This Row],[FROMINSTANCETYPE]])</f>
        <v>UPD_ofs_ar_invoices_insert::invoice_gl_posted_date::Update Strategy</v>
      </c>
      <c r="I14" s="10" t="str">
        <f>CONCATENATE(Connectors[[#This Row],[TOINSTANCE]],"::",Connectors[[#This Row],[TOFIELD]],"::",Connectors[[#This Row],[TOINSTANCETYPE]])</f>
        <v>ofs_ar_invoices_insert::invoice_gl_posted_date::Target Definition</v>
      </c>
    </row>
    <row r="15" spans="1:9" x14ac:dyDescent="0.25">
      <c r="A15" s="25" t="str">
        <f t="shared" si="1"/>
        <v>m_ofs_trex_ar_invoices</v>
      </c>
      <c r="B15" s="1" t="s">
        <v>860</v>
      </c>
      <c r="C15" s="1" t="s">
        <v>145</v>
      </c>
      <c r="D15" s="1" t="s">
        <v>66</v>
      </c>
      <c r="E15" s="1" t="s">
        <v>953</v>
      </c>
      <c r="F15" s="1" t="s">
        <v>145</v>
      </c>
      <c r="G15" s="1" t="s">
        <v>51</v>
      </c>
      <c r="H15" s="10" t="str">
        <f>CONCATENATE(Connectors[[#This Row],[FROMINSTANCE]],"::",Connectors[[#This Row],[FROMFIELD]],"::",Connectors[[#This Row],[FROMINSTANCETYPE]])</f>
        <v>UPD_ofs_ar_invoices_insert::invoice_gl_date::Update Strategy</v>
      </c>
      <c r="I15" s="10" t="str">
        <f>CONCATENATE(Connectors[[#This Row],[TOINSTANCE]],"::",Connectors[[#This Row],[TOFIELD]],"::",Connectors[[#This Row],[TOINSTANCETYPE]])</f>
        <v>ofs_ar_invoices_insert::invoice_gl_date::Target Definition</v>
      </c>
    </row>
    <row r="16" spans="1:9" x14ac:dyDescent="0.25">
      <c r="A16" s="25" t="str">
        <f t="shared" si="1"/>
        <v>m_ofs_trex_ar_invoices</v>
      </c>
      <c r="B16" s="1" t="s">
        <v>860</v>
      </c>
      <c r="C16" s="1" t="s">
        <v>146</v>
      </c>
      <c r="D16" s="1" t="s">
        <v>66</v>
      </c>
      <c r="E16" s="1" t="s">
        <v>953</v>
      </c>
      <c r="F16" s="1" t="s">
        <v>146</v>
      </c>
      <c r="G16" s="1" t="s">
        <v>51</v>
      </c>
      <c r="H16" s="10" t="str">
        <f>CONCATENATE(Connectors[[#This Row],[FROMINSTANCE]],"::",Connectors[[#This Row],[FROMFIELD]],"::",Connectors[[#This Row],[FROMINSTANCETYPE]])</f>
        <v>UPD_ofs_ar_invoices_insert::aud_dim_id::Update Strategy</v>
      </c>
      <c r="I16" s="10" t="str">
        <f>CONCATENATE(Connectors[[#This Row],[TOINSTANCE]],"::",Connectors[[#This Row],[TOFIELD]],"::",Connectors[[#This Row],[TOINSTANCETYPE]])</f>
        <v>ofs_ar_invoices_insert::aud_dim_id::Target Definition</v>
      </c>
    </row>
    <row r="17" spans="1:9" x14ac:dyDescent="0.25">
      <c r="A17" s="25" t="str">
        <f t="shared" si="1"/>
        <v>m_ofs_trex_ar_invoices</v>
      </c>
      <c r="B17" s="1" t="s">
        <v>860</v>
      </c>
      <c r="C17" s="1" t="s">
        <v>147</v>
      </c>
      <c r="D17" s="1" t="s">
        <v>66</v>
      </c>
      <c r="E17" s="1" t="s">
        <v>953</v>
      </c>
      <c r="F17" s="1" t="s">
        <v>147</v>
      </c>
      <c r="G17" s="1" t="s">
        <v>51</v>
      </c>
      <c r="H17" s="10" t="str">
        <f>CONCATENATE(Connectors[[#This Row],[FROMINSTANCE]],"::",Connectors[[#This Row],[FROMFIELD]],"::",Connectors[[#This Row],[FROMINSTANCETYPE]])</f>
        <v>UPD_ofs_ar_invoices_insert::prcs_sts_cd::Update Strategy</v>
      </c>
      <c r="I17" s="10" t="str">
        <f>CONCATENATE(Connectors[[#This Row],[TOINSTANCE]],"::",Connectors[[#This Row],[TOFIELD]],"::",Connectors[[#This Row],[TOINSTANCETYPE]])</f>
        <v>ofs_ar_invoices_insert::prcs_sts_cd::Target Definition</v>
      </c>
    </row>
    <row r="18" spans="1:9" x14ac:dyDescent="0.25">
      <c r="A18" s="25" t="str">
        <f t="shared" si="1"/>
        <v>m_ofs_trex_ar_invoices</v>
      </c>
      <c r="B18" s="1" t="s">
        <v>860</v>
      </c>
      <c r="C18" s="1" t="s">
        <v>879</v>
      </c>
      <c r="D18" s="1" t="s">
        <v>66</v>
      </c>
      <c r="E18" s="1" t="s">
        <v>953</v>
      </c>
      <c r="F18" s="1" t="s">
        <v>148</v>
      </c>
      <c r="G18" s="1" t="s">
        <v>51</v>
      </c>
      <c r="H18" s="10" t="str">
        <f>CONCATENATE(Connectors[[#This Row],[FROMINSTANCE]],"::",Connectors[[#This Row],[FROMFIELD]],"::",Connectors[[#This Row],[FROMINSTANCETYPE]])</f>
        <v>UPD_ofs_ar_invoices_insert::intf_sts_cd::Update Strategy</v>
      </c>
      <c r="I18" s="10" t="str">
        <f>CONCATENATE(Connectors[[#This Row],[TOINSTANCE]],"::",Connectors[[#This Row],[TOFIELD]],"::",Connectors[[#This Row],[TOINSTANCETYPE]])</f>
        <v>ofs_ar_invoices_insert::confm_intf_sts_cd::Target Definition</v>
      </c>
    </row>
    <row r="19" spans="1:9" x14ac:dyDescent="0.25">
      <c r="A19" s="25" t="str">
        <f t="shared" si="1"/>
        <v>m_ofs_trex_ar_invoices</v>
      </c>
      <c r="B19" s="1" t="s">
        <v>860</v>
      </c>
      <c r="C19" s="1" t="s">
        <v>880</v>
      </c>
      <c r="D19" s="1" t="s">
        <v>66</v>
      </c>
      <c r="E19" s="1" t="s">
        <v>953</v>
      </c>
      <c r="F19" s="1" t="s">
        <v>149</v>
      </c>
      <c r="G19" s="1" t="s">
        <v>51</v>
      </c>
      <c r="H19" s="10" t="str">
        <f>CONCATENATE(Connectors[[#This Row],[FROMINSTANCE]],"::",Connectors[[#This Row],[FROMFIELD]],"::",Connectors[[#This Row],[FROMINSTANCETYPE]])</f>
        <v>UPD_ofs_ar_invoices_insert::user_cd::Update Strategy</v>
      </c>
      <c r="I19" s="10" t="str">
        <f>CONCATENATE(Connectors[[#This Row],[TOINSTANCE]],"::",Connectors[[#This Row],[TOFIELD]],"::",Connectors[[#This Row],[TOINSTANCETYPE]])</f>
        <v>ofs_ar_invoices_insert::cre_user_cd::Target Definition</v>
      </c>
    </row>
    <row r="20" spans="1:9" x14ac:dyDescent="0.25">
      <c r="A20" s="25" t="str">
        <f t="shared" si="1"/>
        <v>m_ofs_trex_ar_invoices</v>
      </c>
      <c r="B20" s="1" t="s">
        <v>860</v>
      </c>
      <c r="C20" s="1" t="s">
        <v>880</v>
      </c>
      <c r="D20" s="1" t="s">
        <v>66</v>
      </c>
      <c r="E20" s="1" t="s">
        <v>953</v>
      </c>
      <c r="F20" s="1" t="s">
        <v>151</v>
      </c>
      <c r="G20" s="1" t="s">
        <v>51</v>
      </c>
      <c r="H20" s="10" t="str">
        <f>CONCATENATE(Connectors[[#This Row],[FROMINSTANCE]],"::",Connectors[[#This Row],[FROMFIELD]],"::",Connectors[[#This Row],[FROMINSTANCETYPE]])</f>
        <v>UPD_ofs_ar_invoices_insert::user_cd::Update Strategy</v>
      </c>
      <c r="I20" s="10" t="str">
        <f>CONCATENATE(Connectors[[#This Row],[TOINSTANCE]],"::",Connectors[[#This Row],[TOFIELD]],"::",Connectors[[#This Row],[TOINSTANCETYPE]])</f>
        <v>ofs_ar_invoices_insert::mod_user_cd::Target Definition</v>
      </c>
    </row>
    <row r="21" spans="1:9" x14ac:dyDescent="0.25">
      <c r="A21" s="25" t="str">
        <f t="shared" si="1"/>
        <v>m_ofs_trex_ar_invoices</v>
      </c>
      <c r="B21" s="1" t="s">
        <v>860</v>
      </c>
      <c r="C21" s="1" t="s">
        <v>866</v>
      </c>
      <c r="D21" s="1" t="s">
        <v>66</v>
      </c>
      <c r="E21" s="1" t="s">
        <v>953</v>
      </c>
      <c r="F21" s="1" t="s">
        <v>150</v>
      </c>
      <c r="G21" s="1" t="s">
        <v>51</v>
      </c>
      <c r="H21" s="10" t="str">
        <f>CONCATENATE(Connectors[[#This Row],[FROMINSTANCE]],"::",Connectors[[#This Row],[FROMFIELD]],"::",Connectors[[#This Row],[FROMINSTANCETYPE]])</f>
        <v>UPD_ofs_ar_invoices_insert::session_start_time::Update Strategy</v>
      </c>
      <c r="I21" s="10" t="str">
        <f>CONCATENATE(Connectors[[#This Row],[TOINSTANCE]],"::",Connectors[[#This Row],[TOFIELD]],"::",Connectors[[#This Row],[TOINSTANCETYPE]])</f>
        <v>ofs_ar_invoices_insert::cre_ts::Target Definition</v>
      </c>
    </row>
    <row r="22" spans="1:9" x14ac:dyDescent="0.25">
      <c r="A22" s="25" t="str">
        <f t="shared" si="1"/>
        <v>m_ofs_trex_ar_invoices</v>
      </c>
      <c r="B22" s="1" t="s">
        <v>860</v>
      </c>
      <c r="C22" s="1" t="s">
        <v>866</v>
      </c>
      <c r="D22" s="1" t="s">
        <v>66</v>
      </c>
      <c r="E22" s="1" t="s">
        <v>953</v>
      </c>
      <c r="F22" s="1" t="s">
        <v>152</v>
      </c>
      <c r="G22" s="1" t="s">
        <v>51</v>
      </c>
      <c r="H22" s="10" t="str">
        <f>CONCATENATE(Connectors[[#This Row],[FROMINSTANCE]],"::",Connectors[[#This Row],[FROMFIELD]],"::",Connectors[[#This Row],[FROMINSTANCETYPE]])</f>
        <v>UPD_ofs_ar_invoices_insert::session_start_time::Update Strategy</v>
      </c>
      <c r="I22" s="10" t="str">
        <f>CONCATENATE(Connectors[[#This Row],[TOINSTANCE]],"::",Connectors[[#This Row],[TOFIELD]],"::",Connectors[[#This Row],[TOINSTANCETYPE]])</f>
        <v>ofs_ar_invoices_insert::mod_ts::Target Definition</v>
      </c>
    </row>
    <row r="23" spans="1:9" x14ac:dyDescent="0.25">
      <c r="A23" s="25" t="str">
        <f t="shared" si="1"/>
        <v>m_ofs_trex_ar_invoices</v>
      </c>
      <c r="B23" s="1" t="s">
        <v>860</v>
      </c>
      <c r="C23" s="1" t="s">
        <v>113</v>
      </c>
      <c r="D23" s="1" t="s">
        <v>66</v>
      </c>
      <c r="E23" s="1" t="s">
        <v>953</v>
      </c>
      <c r="F23" s="1" t="s">
        <v>113</v>
      </c>
      <c r="G23" s="1" t="s">
        <v>51</v>
      </c>
      <c r="H23" s="10" t="str">
        <f>CONCATENATE(Connectors[[#This Row],[FROMINSTANCE]],"::",Connectors[[#This Row],[FROMFIELD]],"::",Connectors[[#This Row],[FROMINSTANCETYPE]])</f>
        <v>UPD_ofs_ar_invoices_insert::etl_trans_id::Update Strategy</v>
      </c>
      <c r="I23" s="10" t="str">
        <f>CONCATENATE(Connectors[[#This Row],[TOINSTANCE]],"::",Connectors[[#This Row],[TOFIELD]],"::",Connectors[[#This Row],[TOINSTANCETYPE]])</f>
        <v>ofs_ar_invoices_insert::etl_trans_id::Target Definition</v>
      </c>
    </row>
    <row r="24" spans="1:9" x14ac:dyDescent="0.25">
      <c r="A24" s="25" t="str">
        <f t="shared" si="1"/>
        <v>m_ofs_trex_ar_invoices</v>
      </c>
      <c r="B24" s="1" t="s">
        <v>860</v>
      </c>
      <c r="C24" s="1" t="s">
        <v>114</v>
      </c>
      <c r="D24" s="1" t="s">
        <v>66</v>
      </c>
      <c r="E24" s="1" t="s">
        <v>953</v>
      </c>
      <c r="F24" s="1" t="s">
        <v>114</v>
      </c>
      <c r="G24" s="1" t="s">
        <v>51</v>
      </c>
      <c r="H24" s="10" t="str">
        <f>CONCATENATE(Connectors[[#This Row],[FROMINSTANCE]],"::",Connectors[[#This Row],[FROMFIELD]],"::",Connectors[[#This Row],[FROMINSTANCETYPE]])</f>
        <v>UPD_ofs_ar_invoices_insert::extn_sys_cd::Update Strategy</v>
      </c>
      <c r="I24" s="10" t="str">
        <f>CONCATENATE(Connectors[[#This Row],[TOINSTANCE]],"::",Connectors[[#This Row],[TOFIELD]],"::",Connectors[[#This Row],[TOINSTANCETYPE]])</f>
        <v>ofs_ar_invoices_insert::extn_sys_cd::Target Definition</v>
      </c>
    </row>
    <row r="25" spans="1:9" x14ac:dyDescent="0.25">
      <c r="A25" s="25" t="str">
        <f t="shared" si="1"/>
        <v>m_ofs_trex_ar_invoices</v>
      </c>
      <c r="B25" s="1" t="s">
        <v>860</v>
      </c>
      <c r="C25" s="1" t="s">
        <v>115</v>
      </c>
      <c r="D25" s="1" t="s">
        <v>66</v>
      </c>
      <c r="E25" s="1" t="s">
        <v>953</v>
      </c>
      <c r="F25" s="1" t="s">
        <v>115</v>
      </c>
      <c r="G25" s="1" t="s">
        <v>51</v>
      </c>
      <c r="H25" s="10" t="str">
        <f>CONCATENATE(Connectors[[#This Row],[FROMINSTANCE]],"::",Connectors[[#This Row],[FROMFIELD]],"::",Connectors[[#This Row],[FROMINSTANCETYPE]])</f>
        <v>UPD_ofs_ar_invoices_insert::batch_id::Update Strategy</v>
      </c>
      <c r="I25" s="10" t="str">
        <f>CONCATENATE(Connectors[[#This Row],[TOINSTANCE]],"::",Connectors[[#This Row],[TOFIELD]],"::",Connectors[[#This Row],[TOINSTANCETYPE]])</f>
        <v>ofs_ar_invoices_insert::batch_id::Target Definition</v>
      </c>
    </row>
    <row r="26" spans="1:9" x14ac:dyDescent="0.25">
      <c r="A26" s="25" t="str">
        <f t="shared" si="1"/>
        <v>m_ofs_trex_ar_invoices</v>
      </c>
      <c r="B26" s="1" t="s">
        <v>860</v>
      </c>
      <c r="C26" s="1" t="s">
        <v>116</v>
      </c>
      <c r="D26" s="1" t="s">
        <v>66</v>
      </c>
      <c r="E26" s="1" t="s">
        <v>953</v>
      </c>
      <c r="F26" s="1" t="s">
        <v>116</v>
      </c>
      <c r="G26" s="1" t="s">
        <v>51</v>
      </c>
      <c r="H26" s="10" t="str">
        <f>CONCATENATE(Connectors[[#This Row],[FROMINSTANCE]],"::",Connectors[[#This Row],[FROMFIELD]],"::",Connectors[[#This Row],[FROMINSTANCETYPE]])</f>
        <v>UPD_ofs_ar_invoices_insert::batch_name::Update Strategy</v>
      </c>
      <c r="I26" s="10" t="str">
        <f>CONCATENATE(Connectors[[#This Row],[TOINSTANCE]],"::",Connectors[[#This Row],[TOFIELD]],"::",Connectors[[#This Row],[TOINSTANCETYPE]])</f>
        <v>ofs_ar_invoices_insert::batch_name::Target Definition</v>
      </c>
    </row>
    <row r="27" spans="1:9" x14ac:dyDescent="0.25">
      <c r="A27" s="25" t="str">
        <f t="shared" si="1"/>
        <v>m_ofs_trex_ar_invoices</v>
      </c>
      <c r="B27" s="1" t="s">
        <v>860</v>
      </c>
      <c r="C27" s="1" t="s">
        <v>870</v>
      </c>
      <c r="D27" s="1" t="s">
        <v>66</v>
      </c>
      <c r="E27" s="1" t="s">
        <v>953</v>
      </c>
      <c r="F27" s="1" t="s">
        <v>117</v>
      </c>
      <c r="G27" s="1" t="s">
        <v>51</v>
      </c>
      <c r="H27" s="10" t="str">
        <f>CONCATENATE(Connectors[[#This Row],[FROMINSTANCE]],"::",Connectors[[#This Row],[FROMFIELD]],"::",Connectors[[#This Row],[FROMINSTANCETYPE]])</f>
        <v>UPD_ofs_ar_invoices_insert::o_org_id::Update Strategy</v>
      </c>
      <c r="I27" s="10" t="str">
        <f>CONCATENATE(Connectors[[#This Row],[TOINSTANCE]],"::",Connectors[[#This Row],[TOFIELD]],"::",Connectors[[#This Row],[TOINSTANCETYPE]])</f>
        <v>ofs_ar_invoices_insert::org_id::Target Definition</v>
      </c>
    </row>
    <row r="28" spans="1:9" x14ac:dyDescent="0.25">
      <c r="A28" s="25" t="str">
        <f t="shared" si="1"/>
        <v>m_ofs_trex_ar_invoices</v>
      </c>
      <c r="B28" s="1" t="s">
        <v>860</v>
      </c>
      <c r="C28" s="1" t="s">
        <v>871</v>
      </c>
      <c r="D28" s="1" t="s">
        <v>66</v>
      </c>
      <c r="E28" s="1" t="s">
        <v>953</v>
      </c>
      <c r="F28" s="1" t="s">
        <v>118</v>
      </c>
      <c r="G28" s="1" t="s">
        <v>51</v>
      </c>
      <c r="H28" s="10" t="str">
        <f>CONCATENATE(Connectors[[#This Row],[FROMINSTANCE]],"::",Connectors[[#This Row],[FROMFIELD]],"::",Connectors[[#This Row],[FROMINSTANCETYPE]])</f>
        <v>UPD_ofs_ar_invoices_insert::o_batch_source_id::Update Strategy</v>
      </c>
      <c r="I28" s="10" t="str">
        <f>CONCATENATE(Connectors[[#This Row],[TOINSTANCE]],"::",Connectors[[#This Row],[TOFIELD]],"::",Connectors[[#This Row],[TOINSTANCETYPE]])</f>
        <v>ofs_ar_invoices_insert::batch_source_id::Target Definition</v>
      </c>
    </row>
    <row r="29" spans="1:9" x14ac:dyDescent="0.25">
      <c r="A29" s="25" t="str">
        <f t="shared" si="1"/>
        <v>m_ofs_trex_ar_invoices</v>
      </c>
      <c r="B29" s="1" t="s">
        <v>860</v>
      </c>
      <c r="C29" s="1" t="s">
        <v>119</v>
      </c>
      <c r="D29" s="1" t="s">
        <v>66</v>
      </c>
      <c r="E29" s="1" t="s">
        <v>953</v>
      </c>
      <c r="F29" s="1" t="s">
        <v>119</v>
      </c>
      <c r="G29" s="1" t="s">
        <v>51</v>
      </c>
      <c r="H29" s="10" t="str">
        <f>CONCATENATE(Connectors[[#This Row],[FROMINSTANCE]],"::",Connectors[[#This Row],[FROMFIELD]],"::",Connectors[[#This Row],[FROMINSTANCETYPE]])</f>
        <v>UPD_ofs_ar_invoices_insert::company::Update Strategy</v>
      </c>
      <c r="I29" s="10" t="str">
        <f>CONCATENATE(Connectors[[#This Row],[TOINSTANCE]],"::",Connectors[[#This Row],[TOFIELD]],"::",Connectors[[#This Row],[TOINSTANCETYPE]])</f>
        <v>ofs_ar_invoices_insert::company::Target Definition</v>
      </c>
    </row>
    <row r="30" spans="1:9" x14ac:dyDescent="0.25">
      <c r="A30" s="25" t="str">
        <f t="shared" ref="A30" si="2" xml:space="preserve"> MapNameLkup</f>
        <v>m_ofs_trex_ar_invoices</v>
      </c>
      <c r="B30" s="1" t="s">
        <v>860</v>
      </c>
      <c r="C30" s="1" t="s">
        <v>120</v>
      </c>
      <c r="D30" s="1" t="s">
        <v>66</v>
      </c>
      <c r="E30" s="1" t="s">
        <v>953</v>
      </c>
      <c r="F30" s="1" t="s">
        <v>120</v>
      </c>
      <c r="G30" s="1" t="s">
        <v>51</v>
      </c>
      <c r="H30" s="10" t="str">
        <f>CONCATENATE(Connectors[[#This Row],[FROMINSTANCE]],"::",Connectors[[#This Row],[FROMFIELD]],"::",Connectors[[#This Row],[FROMINSTANCETYPE]])</f>
        <v>UPD_ofs_ar_invoices_insert::company_description::Update Strategy</v>
      </c>
      <c r="I30" s="10" t="str">
        <f>CONCATENATE(Connectors[[#This Row],[TOINSTANCE]],"::",Connectors[[#This Row],[TOFIELD]],"::",Connectors[[#This Row],[TOINSTANCETYPE]])</f>
        <v>ofs_ar_invoices_insert::company_description::Target Definition</v>
      </c>
    </row>
    <row r="31" spans="1:9" x14ac:dyDescent="0.25">
      <c r="A31" s="25" t="str">
        <f xml:space="preserve"> MapNameLkup</f>
        <v>m_ofs_trex_ar_invoices</v>
      </c>
      <c r="B31" s="1" t="s">
        <v>860</v>
      </c>
      <c r="C31" s="1" t="s">
        <v>121</v>
      </c>
      <c r="D31" s="1" t="s">
        <v>66</v>
      </c>
      <c r="E31" s="1" t="s">
        <v>953</v>
      </c>
      <c r="F31" s="1" t="s">
        <v>121</v>
      </c>
      <c r="G31" s="1" t="s">
        <v>51</v>
      </c>
      <c r="H31" s="10" t="str">
        <f>CONCATENATE(Connectors[[#This Row],[FROMINSTANCE]],"::",Connectors[[#This Row],[FROMFIELD]],"::",Connectors[[#This Row],[FROMINSTANCETYPE]])</f>
        <v>UPD_ofs_ar_invoices_insert::account_number::Update Strategy</v>
      </c>
      <c r="I31" s="10" t="str">
        <f>CONCATENATE(Connectors[[#This Row],[TOINSTANCE]],"::",Connectors[[#This Row],[TOFIELD]],"::",Connectors[[#This Row],[TOINSTANCETYPE]])</f>
        <v>ofs_ar_invoices_insert::account_number::Target Definition</v>
      </c>
    </row>
    <row r="32" spans="1:9" x14ac:dyDescent="0.25">
      <c r="A32" s="25" t="str">
        <f xml:space="preserve"> MapNameLkup</f>
        <v>m_ofs_trex_ar_invoices</v>
      </c>
      <c r="B32" s="1" t="s">
        <v>860</v>
      </c>
      <c r="C32" s="1" t="s">
        <v>122</v>
      </c>
      <c r="D32" s="1" t="s">
        <v>66</v>
      </c>
      <c r="E32" s="1" t="s">
        <v>953</v>
      </c>
      <c r="F32" s="1" t="s">
        <v>122</v>
      </c>
      <c r="G32" s="1" t="s">
        <v>51</v>
      </c>
      <c r="H32" s="10" t="str">
        <f>CONCATENATE(Connectors[[#This Row],[FROMINSTANCE]],"::",Connectors[[#This Row],[FROMFIELD]],"::",Connectors[[#This Row],[FROMINSTANCETYPE]])</f>
        <v>UPD_ofs_ar_invoices_insert::party_name::Update Strategy</v>
      </c>
      <c r="I32" s="10" t="str">
        <f>CONCATENATE(Connectors[[#This Row],[TOINSTANCE]],"::",Connectors[[#This Row],[TOFIELD]],"::",Connectors[[#This Row],[TOINSTANCETYPE]])</f>
        <v>ofs_ar_invoices_insert::party_name::Target Definition</v>
      </c>
    </row>
    <row r="33" spans="1:9" x14ac:dyDescent="0.25">
      <c r="A33" s="25" t="str">
        <f xml:space="preserve"> MapNameLkup</f>
        <v>m_ofs_trex_ar_invoices</v>
      </c>
      <c r="B33" s="1" t="s">
        <v>860</v>
      </c>
      <c r="C33" s="1" t="s">
        <v>872</v>
      </c>
      <c r="D33" s="1" t="s">
        <v>66</v>
      </c>
      <c r="E33" s="1" t="s">
        <v>953</v>
      </c>
      <c r="F33" s="1" t="s">
        <v>123</v>
      </c>
      <c r="G33" s="1" t="s">
        <v>51</v>
      </c>
      <c r="H33" s="10" t="str">
        <f>CONCATENATE(Connectors[[#This Row],[FROMINSTANCE]],"::",Connectors[[#This Row],[FROMFIELD]],"::",Connectors[[#This Row],[FROMINSTANCETYPE]])</f>
        <v>UPD_ofs_ar_invoices_insert::o_customer_trx_id::Update Strategy</v>
      </c>
      <c r="I33" s="10" t="str">
        <f>CONCATENATE(Connectors[[#This Row],[TOINSTANCE]],"::",Connectors[[#This Row],[TOFIELD]],"::",Connectors[[#This Row],[TOINSTANCETYPE]])</f>
        <v>ofs_ar_invoices_insert::customer_trx_id::Target Definition</v>
      </c>
    </row>
    <row r="34" spans="1:9" x14ac:dyDescent="0.25">
      <c r="A34" s="25" t="str">
        <f xml:space="preserve"> MapNameLkup</f>
        <v>m_ofs_trex_ar_invoices</v>
      </c>
      <c r="B34" s="1" t="s">
        <v>860</v>
      </c>
      <c r="C34" s="1" t="s">
        <v>124</v>
      </c>
      <c r="D34" s="1" t="s">
        <v>66</v>
      </c>
      <c r="E34" s="1" t="s">
        <v>953</v>
      </c>
      <c r="F34" s="1" t="s">
        <v>124</v>
      </c>
      <c r="G34" s="1" t="s">
        <v>51</v>
      </c>
      <c r="H34" s="10" t="str">
        <f>CONCATENATE(Connectors[[#This Row],[FROMINSTANCE]],"::",Connectors[[#This Row],[FROMFIELD]],"::",Connectors[[#This Row],[FROMINSTANCETYPE]])</f>
        <v>UPD_ofs_ar_invoices_insert::invoice_number::Update Strategy</v>
      </c>
      <c r="I34" s="10" t="str">
        <f>CONCATENATE(Connectors[[#This Row],[TOINSTANCE]],"::",Connectors[[#This Row],[TOFIELD]],"::",Connectors[[#This Row],[TOINSTANCETYPE]])</f>
        <v>ofs_ar_invoices_insert::invoice_number::Target Definition</v>
      </c>
    </row>
    <row r="35" spans="1:9" x14ac:dyDescent="0.25">
      <c r="A35" s="25" t="str">
        <f xml:space="preserve"> MapNameLkup</f>
        <v>m_ofs_trex_ar_invoices</v>
      </c>
      <c r="B35" s="1" t="s">
        <v>860</v>
      </c>
      <c r="C35" s="1" t="s">
        <v>125</v>
      </c>
      <c r="D35" s="1" t="s">
        <v>66</v>
      </c>
      <c r="E35" s="1" t="s">
        <v>953</v>
      </c>
      <c r="F35" s="1" t="s">
        <v>125</v>
      </c>
      <c r="G35" s="1" t="s">
        <v>51</v>
      </c>
      <c r="H35" s="10" t="str">
        <f>CONCATENATE(Connectors[[#This Row],[FROMINSTANCE]],"::",Connectors[[#This Row],[FROMFIELD]],"::",Connectors[[#This Row],[FROMINSTANCETYPE]])</f>
        <v>UPD_ofs_ar_invoices_insert::kme_ar_inv_no::Update Strategy</v>
      </c>
      <c r="I35" s="10" t="str">
        <f>CONCATENATE(Connectors[[#This Row],[TOINSTANCE]],"::",Connectors[[#This Row],[TOFIELD]],"::",Connectors[[#This Row],[TOINSTANCETYPE]])</f>
        <v>ofs_ar_invoices_insert::kme_ar_inv_no::Target Definition</v>
      </c>
    </row>
    <row r="36" spans="1:9" x14ac:dyDescent="0.25">
      <c r="A36" s="25" t="str">
        <f xml:space="preserve"> MapNameLkup</f>
        <v>m_ofs_trex_ar_invoices</v>
      </c>
      <c r="B36" s="1" t="s">
        <v>860</v>
      </c>
      <c r="C36" s="1" t="s">
        <v>126</v>
      </c>
      <c r="D36" s="1" t="s">
        <v>66</v>
      </c>
      <c r="E36" s="1" t="s">
        <v>953</v>
      </c>
      <c r="F36" s="1" t="s">
        <v>126</v>
      </c>
      <c r="G36" s="1" t="s">
        <v>51</v>
      </c>
      <c r="H36" s="10" t="str">
        <f>CONCATENATE(Connectors[[#This Row],[FROMINSTANCE]],"::",Connectors[[#This Row],[FROMFIELD]],"::",Connectors[[#This Row],[FROMINSTANCETYPE]])</f>
        <v>UPD_ofs_ar_invoices_insert::kme_ar_inv_amd_no::Update Strategy</v>
      </c>
      <c r="I36" s="10" t="str">
        <f>CONCATENATE(Connectors[[#This Row],[TOINSTANCE]],"::",Connectors[[#This Row],[TOFIELD]],"::",Connectors[[#This Row],[TOINSTANCETYPE]])</f>
        <v>ofs_ar_invoices_insert::kme_ar_inv_amd_no::Target Definition</v>
      </c>
    </row>
    <row r="37" spans="1:9" x14ac:dyDescent="0.25">
      <c r="A37" s="25" t="str">
        <f xml:space="preserve"> MapNameLkup</f>
        <v>m_ofs_trex_ar_invoices</v>
      </c>
      <c r="B37" s="1" t="s">
        <v>860</v>
      </c>
      <c r="C37" s="1" t="s">
        <v>127</v>
      </c>
      <c r="D37" s="1" t="s">
        <v>66</v>
      </c>
      <c r="E37" s="1" t="s">
        <v>953</v>
      </c>
      <c r="F37" s="1" t="s">
        <v>127</v>
      </c>
      <c r="G37" s="1" t="s">
        <v>51</v>
      </c>
      <c r="H37" s="10" t="str">
        <f>CONCATENATE(Connectors[[#This Row],[FROMINSTANCE]],"::",Connectors[[#This Row],[FROMFIELD]],"::",Connectors[[#This Row],[FROMINSTANCETYPE]])</f>
        <v>UPD_ofs_ar_invoices_insert::invoice_date::Update Strategy</v>
      </c>
      <c r="I37" s="10" t="str">
        <f>CONCATENATE(Connectors[[#This Row],[TOINSTANCE]],"::",Connectors[[#This Row],[TOFIELD]],"::",Connectors[[#This Row],[TOINSTANCETYPE]])</f>
        <v>ofs_ar_invoices_insert::invoice_date::Target Definition</v>
      </c>
    </row>
    <row r="38" spans="1:9" x14ac:dyDescent="0.25">
      <c r="A38" s="25" t="str">
        <f xml:space="preserve"> MapNameLkup</f>
        <v>m_ofs_trex_ar_invoices</v>
      </c>
      <c r="B38" s="1" t="s">
        <v>860</v>
      </c>
      <c r="C38" s="1" t="s">
        <v>128</v>
      </c>
      <c r="D38" s="1" t="s">
        <v>66</v>
      </c>
      <c r="E38" s="1" t="s">
        <v>953</v>
      </c>
      <c r="F38" s="1" t="s">
        <v>128</v>
      </c>
      <c r="G38" s="1" t="s">
        <v>51</v>
      </c>
      <c r="H38" s="10" t="str">
        <f>CONCATENATE(Connectors[[#This Row],[FROMINSTANCE]],"::",Connectors[[#This Row],[FROMFIELD]],"::",Connectors[[#This Row],[FROMINSTANCETYPE]])</f>
        <v>UPD_ofs_ar_invoices_insert::due_date::Update Strategy</v>
      </c>
      <c r="I38" s="10" t="str">
        <f>CONCATENATE(Connectors[[#This Row],[TOINSTANCE]],"::",Connectors[[#This Row],[TOFIELD]],"::",Connectors[[#This Row],[TOINSTANCETYPE]])</f>
        <v>ofs_ar_invoices_insert::due_date::Target Definition</v>
      </c>
    </row>
    <row r="39" spans="1:9" x14ac:dyDescent="0.25">
      <c r="A39" s="25" t="str">
        <f xml:space="preserve"> MapNameLkup</f>
        <v>m_ofs_trex_ar_invoices</v>
      </c>
      <c r="B39" s="1" t="s">
        <v>860</v>
      </c>
      <c r="C39" s="1" t="s">
        <v>129</v>
      </c>
      <c r="D39" s="1" t="s">
        <v>66</v>
      </c>
      <c r="E39" s="1" t="s">
        <v>953</v>
      </c>
      <c r="F39" s="1" t="s">
        <v>129</v>
      </c>
      <c r="G39" s="1" t="s">
        <v>51</v>
      </c>
      <c r="H39" s="10" t="str">
        <f>CONCATENATE(Connectors[[#This Row],[FROMINSTANCE]],"::",Connectors[[#This Row],[FROMFIELD]],"::",Connectors[[#This Row],[FROMINSTANCETYPE]])</f>
        <v>UPD_ofs_ar_invoices_insert::offset_nat_acct_no::Update Strategy</v>
      </c>
      <c r="I39" s="10" t="str">
        <f>CONCATENATE(Connectors[[#This Row],[TOINSTANCE]],"::",Connectors[[#This Row],[TOFIELD]],"::",Connectors[[#This Row],[TOINSTANCETYPE]])</f>
        <v>ofs_ar_invoices_insert::offset_nat_acct_no::Target Definition</v>
      </c>
    </row>
    <row r="40" spans="1:9" x14ac:dyDescent="0.25">
      <c r="A40" s="25" t="str">
        <f xml:space="preserve"> MapNameLkup</f>
        <v>m_ofs_trex_ar_invoices</v>
      </c>
      <c r="B40" s="1" t="s">
        <v>860</v>
      </c>
      <c r="C40" s="1" t="s">
        <v>130</v>
      </c>
      <c r="D40" s="1" t="s">
        <v>66</v>
      </c>
      <c r="E40" s="1" t="s">
        <v>953</v>
      </c>
      <c r="F40" s="1" t="s">
        <v>130</v>
      </c>
      <c r="G40" s="1" t="s">
        <v>51</v>
      </c>
      <c r="H40" s="10" t="str">
        <f>CONCATENATE(Connectors[[#This Row],[FROMINSTANCE]],"::",Connectors[[#This Row],[FROMFIELD]],"::",Connectors[[#This Row],[FROMINSTANCETYPE]])</f>
        <v>UPD_ofs_ar_invoices_insert::transaction_type::Update Strategy</v>
      </c>
      <c r="I40" s="10" t="str">
        <f>CONCATENATE(Connectors[[#This Row],[TOINSTANCE]],"::",Connectors[[#This Row],[TOFIELD]],"::",Connectors[[#This Row],[TOINSTANCETYPE]])</f>
        <v>ofs_ar_invoices_insert::transaction_type::Target Definition</v>
      </c>
    </row>
    <row r="41" spans="1:9" x14ac:dyDescent="0.25">
      <c r="A41" s="25" t="str">
        <f xml:space="preserve"> MapNameLkup</f>
        <v>m_ofs_trex_ar_invoices</v>
      </c>
      <c r="B41" s="1" t="s">
        <v>860</v>
      </c>
      <c r="C41" s="1" t="s">
        <v>873</v>
      </c>
      <c r="D41" s="1" t="s">
        <v>66</v>
      </c>
      <c r="E41" s="1" t="s">
        <v>953</v>
      </c>
      <c r="F41" s="1" t="s">
        <v>131</v>
      </c>
      <c r="G41" s="1" t="s">
        <v>51</v>
      </c>
      <c r="H41" s="10" t="str">
        <f>CONCATENATE(Connectors[[#This Row],[FROMINSTANCE]],"::",Connectors[[#This Row],[FROMFIELD]],"::",Connectors[[#This Row],[FROMINSTANCETYPE]])</f>
        <v>UPD_ofs_ar_invoices_insert::o_acctd_amount::Update Strategy</v>
      </c>
      <c r="I41" s="10" t="str">
        <f>CONCATENATE(Connectors[[#This Row],[TOINSTANCE]],"::",Connectors[[#This Row],[TOFIELD]],"::",Connectors[[#This Row],[TOINSTANCETYPE]])</f>
        <v>ofs_ar_invoices_insert::acctd_amount::Target Definition</v>
      </c>
    </row>
    <row r="42" spans="1:9" x14ac:dyDescent="0.25">
      <c r="A42" s="25" t="str">
        <f xml:space="preserve"> MapNameLkup</f>
        <v>m_ofs_trex_ar_invoices</v>
      </c>
      <c r="B42" s="1" t="s">
        <v>860</v>
      </c>
      <c r="C42" s="1" t="s">
        <v>874</v>
      </c>
      <c r="D42" s="1" t="s">
        <v>66</v>
      </c>
      <c r="E42" s="1" t="s">
        <v>953</v>
      </c>
      <c r="F42" s="1" t="s">
        <v>132</v>
      </c>
      <c r="G42" s="1" t="s">
        <v>51</v>
      </c>
      <c r="H42" s="10" t="str">
        <f>CONCATENATE(Connectors[[#This Row],[FROMINSTANCE]],"::",Connectors[[#This Row],[FROMFIELD]],"::",Connectors[[#This Row],[FROMINSTANCETYPE]])</f>
        <v>UPD_ofs_ar_invoices_insert::o_amount::Update Strategy</v>
      </c>
      <c r="I42" s="10" t="str">
        <f>CONCATENATE(Connectors[[#This Row],[TOINSTANCE]],"::",Connectors[[#This Row],[TOFIELD]],"::",Connectors[[#This Row],[TOINSTANCETYPE]])</f>
        <v>ofs_ar_invoices_insert::amount::Target Definition</v>
      </c>
    </row>
    <row r="43" spans="1:9" x14ac:dyDescent="0.25">
      <c r="A43" s="25" t="str">
        <f xml:space="preserve"> MapNameLkup</f>
        <v>m_ofs_trex_ar_invoices</v>
      </c>
      <c r="B43" s="1" t="s">
        <v>860</v>
      </c>
      <c r="C43" s="1" t="s">
        <v>875</v>
      </c>
      <c r="D43" s="1" t="s">
        <v>66</v>
      </c>
      <c r="E43" s="1" t="s">
        <v>953</v>
      </c>
      <c r="F43" s="1" t="s">
        <v>133</v>
      </c>
      <c r="G43" s="1" t="s">
        <v>51</v>
      </c>
      <c r="H43" s="10" t="str">
        <f>CONCATENATE(Connectors[[#This Row],[FROMINSTANCE]],"::",Connectors[[#This Row],[FROMFIELD]],"::",Connectors[[#This Row],[FROMINSTANCETYPE]])</f>
        <v>UPD_ofs_ar_invoices_insert::o_acctd_amount_applied_to::Update Strategy</v>
      </c>
      <c r="I43" s="10" t="str">
        <f>CONCATENATE(Connectors[[#This Row],[TOINSTANCE]],"::",Connectors[[#This Row],[TOFIELD]],"::",Connectors[[#This Row],[TOINSTANCETYPE]])</f>
        <v>ofs_ar_invoices_insert::acctd_amount_applied_to::Target Definition</v>
      </c>
    </row>
    <row r="44" spans="1:9" x14ac:dyDescent="0.25">
      <c r="A44" s="25" t="str">
        <f xml:space="preserve"> MapNameLkup</f>
        <v>m_ofs_trex_ar_invoices</v>
      </c>
      <c r="B44" s="1" t="s">
        <v>860</v>
      </c>
      <c r="C44" s="1" t="s">
        <v>876</v>
      </c>
      <c r="D44" s="1" t="s">
        <v>66</v>
      </c>
      <c r="E44" s="1" t="s">
        <v>953</v>
      </c>
      <c r="F44" s="1" t="s">
        <v>134</v>
      </c>
      <c r="G44" s="1" t="s">
        <v>51</v>
      </c>
      <c r="H44" s="10" t="str">
        <f>CONCATENATE(Connectors[[#This Row],[FROMINSTANCE]],"::",Connectors[[#This Row],[FROMFIELD]],"::",Connectors[[#This Row],[FROMINSTANCETYPE]])</f>
        <v>UPD_ofs_ar_invoices_insert::o_amount_applied::Update Strategy</v>
      </c>
      <c r="I44" s="10" t="str">
        <f>CONCATENATE(Connectors[[#This Row],[TOINSTANCE]],"::",Connectors[[#This Row],[TOFIELD]],"::",Connectors[[#This Row],[TOINSTANCETYPE]])</f>
        <v>ofs_ar_invoices_insert::amount_applied::Target Definition</v>
      </c>
    </row>
    <row r="45" spans="1:9" x14ac:dyDescent="0.25">
      <c r="A45" s="25" t="str">
        <f xml:space="preserve"> MapNameLkup</f>
        <v>m_ofs_trex_ar_invoices</v>
      </c>
      <c r="B45" s="1" t="s">
        <v>860</v>
      </c>
      <c r="C45" s="1" t="s">
        <v>877</v>
      </c>
      <c r="D45" s="1" t="s">
        <v>66</v>
      </c>
      <c r="E45" s="1" t="s">
        <v>953</v>
      </c>
      <c r="F45" s="1" t="s">
        <v>135</v>
      </c>
      <c r="G45" s="1" t="s">
        <v>51</v>
      </c>
      <c r="H45" s="10" t="str">
        <f>CONCATENATE(Connectors[[#This Row],[FROMINSTANCE]],"::",Connectors[[#This Row],[FROMFIELD]],"::",Connectors[[#This Row],[FROMINSTANCETYPE]])</f>
        <v>UPD_ofs_ar_invoices_insert::o_acctd_amount_due_remaining::Update Strategy</v>
      </c>
      <c r="I45" s="10" t="str">
        <f>CONCATENATE(Connectors[[#This Row],[TOINSTANCE]],"::",Connectors[[#This Row],[TOFIELD]],"::",Connectors[[#This Row],[TOINSTANCETYPE]])</f>
        <v>ofs_ar_invoices_insert::acctd_amount_due_remaining::Target Definition</v>
      </c>
    </row>
    <row r="46" spans="1:9" x14ac:dyDescent="0.25">
      <c r="A46" s="25" t="str">
        <f xml:space="preserve"> MapNameLkup</f>
        <v>m_ofs_trex_ar_invoices</v>
      </c>
      <c r="B46" s="1" t="s">
        <v>860</v>
      </c>
      <c r="C46" s="1" t="s">
        <v>878</v>
      </c>
      <c r="D46" s="1" t="s">
        <v>66</v>
      </c>
      <c r="E46" s="1" t="s">
        <v>953</v>
      </c>
      <c r="F46" s="1" t="s">
        <v>136</v>
      </c>
      <c r="G46" s="1" t="s">
        <v>51</v>
      </c>
      <c r="H46" s="10" t="str">
        <f>CONCATENATE(Connectors[[#This Row],[FROMINSTANCE]],"::",Connectors[[#This Row],[FROMFIELD]],"::",Connectors[[#This Row],[FROMINSTANCETYPE]])</f>
        <v>UPD_ofs_ar_invoices_insert::o_amount_due_remaining::Update Strategy</v>
      </c>
      <c r="I46" s="10" t="str">
        <f>CONCATENATE(Connectors[[#This Row],[TOINSTANCE]],"::",Connectors[[#This Row],[TOFIELD]],"::",Connectors[[#This Row],[TOINSTANCETYPE]])</f>
        <v>ofs_ar_invoices_insert::amount_due_remaining::Target Definition</v>
      </c>
    </row>
    <row r="47" spans="1:9" x14ac:dyDescent="0.25">
      <c r="A47" s="25" t="str">
        <f xml:space="preserve"> MapNameLkup</f>
        <v>m_ofs_trex_ar_invoices</v>
      </c>
      <c r="B47" s="1" t="s">
        <v>854</v>
      </c>
      <c r="C47" s="1" t="s">
        <v>877</v>
      </c>
      <c r="D47" s="1" t="s">
        <v>66</v>
      </c>
      <c r="E47" s="1" t="s">
        <v>954</v>
      </c>
      <c r="F47" s="1" t="s">
        <v>135</v>
      </c>
      <c r="G47" s="1" t="s">
        <v>51</v>
      </c>
      <c r="H47" s="10" t="str">
        <f>CONCATENATE(Connectors[[#This Row],[FROMINSTANCE]],"::",Connectors[[#This Row],[FROMFIELD]],"::",Connectors[[#This Row],[FROMINSTANCETYPE]])</f>
        <v>UPD_ofs_ar_invoices_update::o_acctd_amount_due_remaining::Update Strategy</v>
      </c>
      <c r="I47" s="10" t="str">
        <f>CONCATENATE(Connectors[[#This Row],[TOINSTANCE]],"::",Connectors[[#This Row],[TOFIELD]],"::",Connectors[[#This Row],[TOINSTANCETYPE]])</f>
        <v>ofs_ar_invoices_update::acctd_amount_due_remaining::Target Definition</v>
      </c>
    </row>
    <row r="48" spans="1:9" x14ac:dyDescent="0.25">
      <c r="A48" s="25" t="str">
        <f xml:space="preserve"> MapNameLkup</f>
        <v>m_ofs_trex_ar_invoices</v>
      </c>
      <c r="B48" s="1" t="s">
        <v>854</v>
      </c>
      <c r="C48" s="1" t="s">
        <v>876</v>
      </c>
      <c r="D48" s="1" t="s">
        <v>66</v>
      </c>
      <c r="E48" s="1" t="s">
        <v>954</v>
      </c>
      <c r="F48" s="1" t="s">
        <v>134</v>
      </c>
      <c r="G48" s="1" t="s">
        <v>51</v>
      </c>
      <c r="H48" s="10" t="str">
        <f>CONCATENATE(Connectors[[#This Row],[FROMINSTANCE]],"::",Connectors[[#This Row],[FROMFIELD]],"::",Connectors[[#This Row],[FROMINSTANCETYPE]])</f>
        <v>UPD_ofs_ar_invoices_update::o_amount_applied::Update Strategy</v>
      </c>
      <c r="I48" s="10" t="str">
        <f>CONCATENATE(Connectors[[#This Row],[TOINSTANCE]],"::",Connectors[[#This Row],[TOFIELD]],"::",Connectors[[#This Row],[TOINSTANCETYPE]])</f>
        <v>ofs_ar_invoices_update::amount_applied::Target Definition</v>
      </c>
    </row>
    <row r="49" spans="1:9" x14ac:dyDescent="0.25">
      <c r="A49" s="25" t="str">
        <f xml:space="preserve"> MapNameLkup</f>
        <v>m_ofs_trex_ar_invoices</v>
      </c>
      <c r="B49" s="1" t="s">
        <v>854</v>
      </c>
      <c r="C49" s="1" t="s">
        <v>875</v>
      </c>
      <c r="D49" s="1" t="s">
        <v>66</v>
      </c>
      <c r="E49" s="1" t="s">
        <v>954</v>
      </c>
      <c r="F49" s="1" t="s">
        <v>133</v>
      </c>
      <c r="G49" s="1" t="s">
        <v>51</v>
      </c>
      <c r="H49" s="10" t="str">
        <f>CONCATENATE(Connectors[[#This Row],[FROMINSTANCE]],"::",Connectors[[#This Row],[FROMFIELD]],"::",Connectors[[#This Row],[FROMINSTANCETYPE]])</f>
        <v>UPD_ofs_ar_invoices_update::o_acctd_amount_applied_to::Update Strategy</v>
      </c>
      <c r="I49" s="10" t="str">
        <f>CONCATENATE(Connectors[[#This Row],[TOINSTANCE]],"::",Connectors[[#This Row],[TOFIELD]],"::",Connectors[[#This Row],[TOINSTANCETYPE]])</f>
        <v>ofs_ar_invoices_update::acctd_amount_applied_to::Target Definition</v>
      </c>
    </row>
    <row r="50" spans="1:9" x14ac:dyDescent="0.25">
      <c r="A50" s="25" t="str">
        <f xml:space="preserve"> MapNameLkup</f>
        <v>m_ofs_trex_ar_invoices</v>
      </c>
      <c r="B50" s="1" t="s">
        <v>854</v>
      </c>
      <c r="C50" s="1" t="s">
        <v>145</v>
      </c>
      <c r="D50" s="1" t="s">
        <v>66</v>
      </c>
      <c r="E50" s="1" t="s">
        <v>954</v>
      </c>
      <c r="F50" s="1" t="s">
        <v>145</v>
      </c>
      <c r="G50" s="1" t="s">
        <v>51</v>
      </c>
      <c r="H50" s="10" t="str">
        <f>CONCATENATE(Connectors[[#This Row],[FROMINSTANCE]],"::",Connectors[[#This Row],[FROMFIELD]],"::",Connectors[[#This Row],[FROMINSTANCETYPE]])</f>
        <v>UPD_ofs_ar_invoices_update::invoice_gl_date::Update Strategy</v>
      </c>
      <c r="I50" s="10" t="str">
        <f>CONCATENATE(Connectors[[#This Row],[TOINSTANCE]],"::",Connectors[[#This Row],[TOFIELD]],"::",Connectors[[#This Row],[TOINSTANCETYPE]])</f>
        <v>ofs_ar_invoices_update::invoice_gl_date::Target Definition</v>
      </c>
    </row>
    <row r="51" spans="1:9" x14ac:dyDescent="0.25">
      <c r="A51" s="25" t="str">
        <f xml:space="preserve"> MapNameLkup</f>
        <v>m_ofs_trex_ar_invoices</v>
      </c>
      <c r="B51" s="1" t="s">
        <v>854</v>
      </c>
      <c r="C51" s="1" t="s">
        <v>137</v>
      </c>
      <c r="D51" s="1" t="s">
        <v>66</v>
      </c>
      <c r="E51" s="1" t="s">
        <v>954</v>
      </c>
      <c r="F51" s="1" t="s">
        <v>137</v>
      </c>
      <c r="G51" s="1" t="s">
        <v>51</v>
      </c>
      <c r="H51" s="10" t="str">
        <f>CONCATENATE(Connectors[[#This Row],[FROMINSTANCE]],"::",Connectors[[#This Row],[FROMFIELD]],"::",Connectors[[#This Row],[FROMINSTANCETYPE]])</f>
        <v>UPD_ofs_ar_invoices_update::currency_code::Update Strategy</v>
      </c>
      <c r="I51" s="10" t="str">
        <f>CONCATENATE(Connectors[[#This Row],[TOINSTANCE]],"::",Connectors[[#This Row],[TOFIELD]],"::",Connectors[[#This Row],[TOINSTANCETYPE]])</f>
        <v>ofs_ar_invoices_update::currency_code::Target Definition</v>
      </c>
    </row>
    <row r="52" spans="1:9" x14ac:dyDescent="0.25">
      <c r="A52" s="25" t="str">
        <f xml:space="preserve"> MapNameLkup</f>
        <v>m_ofs_trex_ar_invoices</v>
      </c>
      <c r="B52" s="1" t="s">
        <v>854</v>
      </c>
      <c r="C52" s="1" t="s">
        <v>138</v>
      </c>
      <c r="D52" s="1" t="s">
        <v>66</v>
      </c>
      <c r="E52" s="1" t="s">
        <v>954</v>
      </c>
      <c r="F52" s="1" t="s">
        <v>138</v>
      </c>
      <c r="G52" s="1" t="s">
        <v>51</v>
      </c>
      <c r="H52" s="10" t="str">
        <f>CONCATENATE(Connectors[[#This Row],[FROMINSTANCE]],"::",Connectors[[#This Row],[FROMFIELD]],"::",Connectors[[#This Row],[FROMINSTANCETYPE]])</f>
        <v>UPD_ofs_ar_invoices_update::payment_terms::Update Strategy</v>
      </c>
      <c r="I52" s="10" t="str">
        <f>CONCATENATE(Connectors[[#This Row],[TOINSTANCE]],"::",Connectors[[#This Row],[TOFIELD]],"::",Connectors[[#This Row],[TOINSTANCETYPE]])</f>
        <v>ofs_ar_invoices_update::payment_terms::Target Definition</v>
      </c>
    </row>
    <row r="53" spans="1:9" x14ac:dyDescent="0.25">
      <c r="A53" s="25" t="str">
        <f xml:space="preserve"> MapNameLkup</f>
        <v>m_ofs_trex_ar_invoices</v>
      </c>
      <c r="B53" s="1" t="s">
        <v>854</v>
      </c>
      <c r="C53" s="1" t="s">
        <v>140</v>
      </c>
      <c r="D53" s="1" t="s">
        <v>66</v>
      </c>
      <c r="E53" s="1" t="s">
        <v>954</v>
      </c>
      <c r="F53" s="1" t="s">
        <v>140</v>
      </c>
      <c r="G53" s="1" t="s">
        <v>51</v>
      </c>
      <c r="H53" s="10" t="str">
        <f>CONCATENATE(Connectors[[#This Row],[FROMINSTANCE]],"::",Connectors[[#This Row],[FROMFIELD]],"::",Connectors[[#This Row],[FROMINSTANCETYPE]])</f>
        <v>UPD_ofs_ar_invoices_update::created_by::Update Strategy</v>
      </c>
      <c r="I53" s="10" t="str">
        <f>CONCATENATE(Connectors[[#This Row],[TOINSTANCE]],"::",Connectors[[#This Row],[TOFIELD]],"::",Connectors[[#This Row],[TOINSTANCETYPE]])</f>
        <v>ofs_ar_invoices_update::created_by::Target Definition</v>
      </c>
    </row>
    <row r="54" spans="1:9" x14ac:dyDescent="0.25">
      <c r="A54" s="25" t="str">
        <f xml:space="preserve"> MapNameLkup</f>
        <v>m_ofs_trex_ar_invoices</v>
      </c>
      <c r="B54" s="1" t="s">
        <v>854</v>
      </c>
      <c r="C54" s="1" t="s">
        <v>142</v>
      </c>
      <c r="D54" s="1" t="s">
        <v>66</v>
      </c>
      <c r="E54" s="1" t="s">
        <v>954</v>
      </c>
      <c r="F54" s="1" t="s">
        <v>142</v>
      </c>
      <c r="G54" s="1" t="s">
        <v>51</v>
      </c>
      <c r="H54" s="10" t="str">
        <f>CONCATENATE(Connectors[[#This Row],[FROMINSTANCE]],"::",Connectors[[#This Row],[FROMFIELD]],"::",Connectors[[#This Row],[FROMINSTANCETYPE]])</f>
        <v>UPD_ofs_ar_invoices_update::invoice_creation_date::Update Strategy</v>
      </c>
      <c r="I54" s="10" t="str">
        <f>CONCATENATE(Connectors[[#This Row],[TOINSTANCE]],"::",Connectors[[#This Row],[TOFIELD]],"::",Connectors[[#This Row],[TOINSTANCETYPE]])</f>
        <v>ofs_ar_invoices_update::invoice_creation_date::Target Definition</v>
      </c>
    </row>
    <row r="55" spans="1:9" x14ac:dyDescent="0.25">
      <c r="A55" s="25" t="str">
        <f xml:space="preserve"> MapNameLkup</f>
        <v>m_ofs_trex_ar_invoices</v>
      </c>
      <c r="B55" s="1" t="s">
        <v>854</v>
      </c>
      <c r="C55" s="1" t="s">
        <v>143</v>
      </c>
      <c r="D55" s="1" t="s">
        <v>66</v>
      </c>
      <c r="E55" s="1" t="s">
        <v>954</v>
      </c>
      <c r="F55" s="1" t="s">
        <v>143</v>
      </c>
      <c r="G55" s="1" t="s">
        <v>51</v>
      </c>
      <c r="H55" s="10" t="str">
        <f>CONCATENATE(Connectors[[#This Row],[FROMINSTANCE]],"::",Connectors[[#This Row],[FROMFIELD]],"::",Connectors[[#This Row],[FROMINSTANCETYPE]])</f>
        <v>UPD_ofs_ar_invoices_update::invoice_last_update_date::Update Strategy</v>
      </c>
      <c r="I55" s="10" t="str">
        <f>CONCATENATE(Connectors[[#This Row],[TOINSTANCE]],"::",Connectors[[#This Row],[TOFIELD]],"::",Connectors[[#This Row],[TOINSTANCETYPE]])</f>
        <v>ofs_ar_invoices_update::invoice_last_update_date::Target Definition</v>
      </c>
    </row>
    <row r="56" spans="1:9" x14ac:dyDescent="0.25">
      <c r="A56" s="25" t="str">
        <f xml:space="preserve"> MapNameLkup</f>
        <v>m_ofs_trex_ar_invoices</v>
      </c>
      <c r="B56" s="1" t="s">
        <v>854</v>
      </c>
      <c r="C56" s="1" t="s">
        <v>128</v>
      </c>
      <c r="D56" s="1" t="s">
        <v>66</v>
      </c>
      <c r="E56" s="1" t="s">
        <v>954</v>
      </c>
      <c r="F56" s="1" t="s">
        <v>128</v>
      </c>
      <c r="G56" s="1" t="s">
        <v>51</v>
      </c>
      <c r="H56" s="10" t="str">
        <f>CONCATENATE(Connectors[[#This Row],[FROMINSTANCE]],"::",Connectors[[#This Row],[FROMFIELD]],"::",Connectors[[#This Row],[FROMINSTANCETYPE]])</f>
        <v>UPD_ofs_ar_invoices_update::due_date::Update Strategy</v>
      </c>
      <c r="I56" s="10" t="str">
        <f>CONCATENATE(Connectors[[#This Row],[TOINSTANCE]],"::",Connectors[[#This Row],[TOFIELD]],"::",Connectors[[#This Row],[TOINSTANCETYPE]])</f>
        <v>ofs_ar_invoices_update::due_date::Target Definition</v>
      </c>
    </row>
    <row r="57" spans="1:9" x14ac:dyDescent="0.25">
      <c r="A57" s="25" t="str">
        <f xml:space="preserve"> MapNameLkup</f>
        <v>m_ofs_trex_ar_invoices</v>
      </c>
      <c r="B57" s="1" t="s">
        <v>854</v>
      </c>
      <c r="C57" s="1" t="s">
        <v>139</v>
      </c>
      <c r="D57" s="1" t="s">
        <v>66</v>
      </c>
      <c r="E57" s="1" t="s">
        <v>954</v>
      </c>
      <c r="F57" s="1" t="s">
        <v>139</v>
      </c>
      <c r="G57" s="1" t="s">
        <v>51</v>
      </c>
      <c r="H57" s="10" t="str">
        <f>CONCATENATE(Connectors[[#This Row],[FROMINSTANCE]],"::",Connectors[[#This Row],[FROMFIELD]],"::",Connectors[[#This Row],[FROMINSTANCETYPE]])</f>
        <v>UPD_ofs_ar_invoices_update::receipt_method::Update Strategy</v>
      </c>
      <c r="I57" s="10" t="str">
        <f>CONCATENATE(Connectors[[#This Row],[TOINSTANCE]],"::",Connectors[[#This Row],[TOFIELD]],"::",Connectors[[#This Row],[TOINSTANCETYPE]])</f>
        <v>ofs_ar_invoices_update::receipt_method::Target Definition</v>
      </c>
    </row>
    <row r="58" spans="1:9" x14ac:dyDescent="0.25">
      <c r="A58" s="25" t="str">
        <f xml:space="preserve"> MapNameLkup</f>
        <v>m_ofs_trex_ar_invoices</v>
      </c>
      <c r="B58" s="1" t="s">
        <v>854</v>
      </c>
      <c r="C58" s="1" t="s">
        <v>147</v>
      </c>
      <c r="D58" s="1" t="s">
        <v>66</v>
      </c>
      <c r="E58" s="1" t="s">
        <v>954</v>
      </c>
      <c r="F58" s="1" t="s">
        <v>147</v>
      </c>
      <c r="G58" s="1" t="s">
        <v>51</v>
      </c>
      <c r="H58" s="10" t="str">
        <f>CONCATENATE(Connectors[[#This Row],[FROMINSTANCE]],"::",Connectors[[#This Row],[FROMFIELD]],"::",Connectors[[#This Row],[FROMINSTANCETYPE]])</f>
        <v>UPD_ofs_ar_invoices_update::prcs_sts_cd::Update Strategy</v>
      </c>
      <c r="I58" s="10" t="str">
        <f>CONCATENATE(Connectors[[#This Row],[TOINSTANCE]],"::",Connectors[[#This Row],[TOFIELD]],"::",Connectors[[#This Row],[TOINSTANCETYPE]])</f>
        <v>ofs_ar_invoices_update::prcs_sts_cd::Target Definition</v>
      </c>
    </row>
    <row r="59" spans="1:9" x14ac:dyDescent="0.25">
      <c r="A59" s="25" t="str">
        <f xml:space="preserve"> MapNameLkup</f>
        <v>m_ofs_trex_ar_invoices</v>
      </c>
      <c r="B59" s="1" t="s">
        <v>854</v>
      </c>
      <c r="C59" s="1" t="s">
        <v>879</v>
      </c>
      <c r="D59" s="1" t="s">
        <v>66</v>
      </c>
      <c r="E59" s="1" t="s">
        <v>954</v>
      </c>
      <c r="F59" s="1" t="s">
        <v>148</v>
      </c>
      <c r="G59" s="1" t="s">
        <v>51</v>
      </c>
      <c r="H59" s="10" t="str">
        <f>CONCATENATE(Connectors[[#This Row],[FROMINSTANCE]],"::",Connectors[[#This Row],[FROMFIELD]],"::",Connectors[[#This Row],[FROMINSTANCETYPE]])</f>
        <v>UPD_ofs_ar_invoices_update::intf_sts_cd::Update Strategy</v>
      </c>
      <c r="I59" s="10" t="str">
        <f>CONCATENATE(Connectors[[#This Row],[TOINSTANCE]],"::",Connectors[[#This Row],[TOFIELD]],"::",Connectors[[#This Row],[TOINSTANCETYPE]])</f>
        <v>ofs_ar_invoices_update::confm_intf_sts_cd::Target Definition</v>
      </c>
    </row>
    <row r="60" spans="1:9" x14ac:dyDescent="0.25">
      <c r="A60" s="25" t="str">
        <f xml:space="preserve"> MapNameLkup</f>
        <v>m_ofs_trex_ar_invoices</v>
      </c>
      <c r="B60" s="1" t="s">
        <v>854</v>
      </c>
      <c r="C60" s="1" t="s">
        <v>880</v>
      </c>
      <c r="D60" s="1" t="s">
        <v>66</v>
      </c>
      <c r="E60" s="1" t="s">
        <v>954</v>
      </c>
      <c r="F60" s="1" t="s">
        <v>151</v>
      </c>
      <c r="G60" s="1" t="s">
        <v>51</v>
      </c>
      <c r="H60" s="10" t="str">
        <f>CONCATENATE(Connectors[[#This Row],[FROMINSTANCE]],"::",Connectors[[#This Row],[FROMFIELD]],"::",Connectors[[#This Row],[FROMINSTANCETYPE]])</f>
        <v>UPD_ofs_ar_invoices_update::user_cd::Update Strategy</v>
      </c>
      <c r="I60" s="10" t="str">
        <f>CONCATENATE(Connectors[[#This Row],[TOINSTANCE]],"::",Connectors[[#This Row],[TOFIELD]],"::",Connectors[[#This Row],[TOINSTANCETYPE]])</f>
        <v>ofs_ar_invoices_update::mod_user_cd::Target Definition</v>
      </c>
    </row>
    <row r="61" spans="1:9" x14ac:dyDescent="0.25">
      <c r="A61" s="25" t="str">
        <f xml:space="preserve"> MapNameLkup</f>
        <v>m_ofs_trex_ar_invoices</v>
      </c>
      <c r="B61" s="1" t="s">
        <v>854</v>
      </c>
      <c r="C61" s="1" t="s">
        <v>141</v>
      </c>
      <c r="D61" s="1" t="s">
        <v>66</v>
      </c>
      <c r="E61" s="1" t="s">
        <v>954</v>
      </c>
      <c r="F61" s="1" t="s">
        <v>141</v>
      </c>
      <c r="G61" s="1" t="s">
        <v>51</v>
      </c>
      <c r="H61" s="10" t="str">
        <f>CONCATENATE(Connectors[[#This Row],[FROMINSTANCE]],"::",Connectors[[#This Row],[FROMFIELD]],"::",Connectors[[#This Row],[FROMINSTANCETYPE]])</f>
        <v>UPD_ofs_ar_invoices_update::last_updated_by::Update Strategy</v>
      </c>
      <c r="I61" s="10" t="str">
        <f>CONCATENATE(Connectors[[#This Row],[TOINSTANCE]],"::",Connectors[[#This Row],[TOFIELD]],"::",Connectors[[#This Row],[TOINSTANCETYPE]])</f>
        <v>ofs_ar_invoices_update::last_updated_by::Target Definition</v>
      </c>
    </row>
    <row r="62" spans="1:9" x14ac:dyDescent="0.25">
      <c r="A62" s="25" t="str">
        <f xml:space="preserve"> MapNameLkup</f>
        <v>m_ofs_trex_ar_invoices</v>
      </c>
      <c r="B62" s="1" t="s">
        <v>854</v>
      </c>
      <c r="C62" s="1" t="s">
        <v>873</v>
      </c>
      <c r="D62" s="1" t="s">
        <v>66</v>
      </c>
      <c r="E62" s="1" t="s">
        <v>954</v>
      </c>
      <c r="F62" s="1" t="s">
        <v>131</v>
      </c>
      <c r="G62" s="1" t="s">
        <v>51</v>
      </c>
      <c r="H62" s="10" t="str">
        <f>CONCATENATE(Connectors[[#This Row],[FROMINSTANCE]],"::",Connectors[[#This Row],[FROMFIELD]],"::",Connectors[[#This Row],[FROMINSTANCETYPE]])</f>
        <v>UPD_ofs_ar_invoices_update::o_acctd_amount::Update Strategy</v>
      </c>
      <c r="I62" s="10" t="str">
        <f>CONCATENATE(Connectors[[#This Row],[TOINSTANCE]],"::",Connectors[[#This Row],[TOFIELD]],"::",Connectors[[#This Row],[TOINSTANCETYPE]])</f>
        <v>ofs_ar_invoices_update::acctd_amount::Target Definition</v>
      </c>
    </row>
    <row r="63" spans="1:9" x14ac:dyDescent="0.25">
      <c r="A63" s="25" t="str">
        <f xml:space="preserve"> MapNameLkup</f>
        <v>m_ofs_trex_ar_invoices</v>
      </c>
      <c r="B63" s="1" t="s">
        <v>854</v>
      </c>
      <c r="C63" s="1" t="s">
        <v>874</v>
      </c>
      <c r="D63" s="1" t="s">
        <v>66</v>
      </c>
      <c r="E63" s="1" t="s">
        <v>954</v>
      </c>
      <c r="F63" s="1" t="s">
        <v>132</v>
      </c>
      <c r="G63" s="1" t="s">
        <v>51</v>
      </c>
      <c r="H63" s="10" t="str">
        <f>CONCATENATE(Connectors[[#This Row],[FROMINSTANCE]],"::",Connectors[[#This Row],[FROMFIELD]],"::",Connectors[[#This Row],[FROMINSTANCETYPE]])</f>
        <v>UPD_ofs_ar_invoices_update::o_amount::Update Strategy</v>
      </c>
      <c r="I63" s="10" t="str">
        <f>CONCATENATE(Connectors[[#This Row],[TOINSTANCE]],"::",Connectors[[#This Row],[TOFIELD]],"::",Connectors[[#This Row],[TOINSTANCETYPE]])</f>
        <v>ofs_ar_invoices_update::amount::Target Definition</v>
      </c>
    </row>
    <row r="64" spans="1:9" x14ac:dyDescent="0.25">
      <c r="A64" s="25" t="str">
        <f xml:space="preserve"> MapNameLkup</f>
        <v>m_ofs_trex_ar_invoices</v>
      </c>
      <c r="B64" s="1" t="s">
        <v>854</v>
      </c>
      <c r="C64" s="1" t="s">
        <v>144</v>
      </c>
      <c r="D64" s="1" t="s">
        <v>66</v>
      </c>
      <c r="E64" s="1" t="s">
        <v>954</v>
      </c>
      <c r="F64" s="1" t="s">
        <v>144</v>
      </c>
      <c r="G64" s="1" t="s">
        <v>51</v>
      </c>
      <c r="H64" s="10" t="str">
        <f>CONCATENATE(Connectors[[#This Row],[FROMINSTANCE]],"::",Connectors[[#This Row],[FROMFIELD]],"::",Connectors[[#This Row],[FROMINSTANCETYPE]])</f>
        <v>UPD_ofs_ar_invoices_update::invoice_gl_posted_date::Update Strategy</v>
      </c>
      <c r="I64" s="10" t="str">
        <f>CONCATENATE(Connectors[[#This Row],[TOINSTANCE]],"::",Connectors[[#This Row],[TOFIELD]],"::",Connectors[[#This Row],[TOINSTANCETYPE]])</f>
        <v>ofs_ar_invoices_update::invoice_gl_posted_date::Target Definition</v>
      </c>
    </row>
    <row r="65" spans="1:9" x14ac:dyDescent="0.25">
      <c r="A65" s="25" t="str">
        <f xml:space="preserve"> MapNameLkup</f>
        <v>m_ofs_trex_ar_invoices</v>
      </c>
      <c r="B65" s="1" t="s">
        <v>854</v>
      </c>
      <c r="C65" s="1" t="s">
        <v>130</v>
      </c>
      <c r="D65" s="1" t="s">
        <v>66</v>
      </c>
      <c r="E65" s="1" t="s">
        <v>954</v>
      </c>
      <c r="F65" s="1" t="s">
        <v>130</v>
      </c>
      <c r="G65" s="1" t="s">
        <v>51</v>
      </c>
      <c r="H65" s="10" t="str">
        <f>CONCATENATE(Connectors[[#This Row],[FROMINSTANCE]],"::",Connectors[[#This Row],[FROMFIELD]],"::",Connectors[[#This Row],[FROMINSTANCETYPE]])</f>
        <v>UPD_ofs_ar_invoices_update::transaction_type::Update Strategy</v>
      </c>
      <c r="I65" s="10" t="str">
        <f>CONCATENATE(Connectors[[#This Row],[TOINSTANCE]],"::",Connectors[[#This Row],[TOFIELD]],"::",Connectors[[#This Row],[TOINSTANCETYPE]])</f>
        <v>ofs_ar_invoices_update::transaction_type::Target Definition</v>
      </c>
    </row>
    <row r="66" spans="1:9" x14ac:dyDescent="0.25">
      <c r="A66" s="25" t="str">
        <f xml:space="preserve"> MapNameLkup</f>
        <v>m_ofs_trex_ar_invoices</v>
      </c>
      <c r="B66" s="1" t="s">
        <v>854</v>
      </c>
      <c r="C66" s="1" t="s">
        <v>127</v>
      </c>
      <c r="D66" s="1" t="s">
        <v>66</v>
      </c>
      <c r="E66" s="1" t="s">
        <v>954</v>
      </c>
      <c r="F66" s="1" t="s">
        <v>127</v>
      </c>
      <c r="G66" s="1" t="s">
        <v>51</v>
      </c>
      <c r="H66" s="10" t="str">
        <f>CONCATENATE(Connectors[[#This Row],[FROMINSTANCE]],"::",Connectors[[#This Row],[FROMFIELD]],"::",Connectors[[#This Row],[FROMINSTANCETYPE]])</f>
        <v>UPD_ofs_ar_invoices_update::invoice_date::Update Strategy</v>
      </c>
      <c r="I66" s="10" t="str">
        <f>CONCATENATE(Connectors[[#This Row],[TOINSTANCE]],"::",Connectors[[#This Row],[TOFIELD]],"::",Connectors[[#This Row],[TOINSTANCETYPE]])</f>
        <v>ofs_ar_invoices_update::invoice_date::Target Definition</v>
      </c>
    </row>
    <row r="67" spans="1:9" x14ac:dyDescent="0.25">
      <c r="A67" s="25" t="str">
        <f xml:space="preserve"> MapNameLkup</f>
        <v>m_ofs_trex_ar_invoices</v>
      </c>
      <c r="B67" s="1" t="s">
        <v>854</v>
      </c>
      <c r="C67" s="1" t="s">
        <v>126</v>
      </c>
      <c r="D67" s="1" t="s">
        <v>66</v>
      </c>
      <c r="E67" s="1" t="s">
        <v>954</v>
      </c>
      <c r="F67" s="1" t="s">
        <v>126</v>
      </c>
      <c r="G67" s="1" t="s">
        <v>51</v>
      </c>
      <c r="H67" s="10" t="str">
        <f>CONCATENATE(Connectors[[#This Row],[FROMINSTANCE]],"::",Connectors[[#This Row],[FROMFIELD]],"::",Connectors[[#This Row],[FROMINSTANCETYPE]])</f>
        <v>UPD_ofs_ar_invoices_update::kme_ar_inv_amd_no::Update Strategy</v>
      </c>
      <c r="I67" s="10" t="str">
        <f>CONCATENATE(Connectors[[#This Row],[TOINSTANCE]],"::",Connectors[[#This Row],[TOFIELD]],"::",Connectors[[#This Row],[TOINSTANCETYPE]])</f>
        <v>ofs_ar_invoices_update::kme_ar_inv_amd_no::Target Definition</v>
      </c>
    </row>
    <row r="68" spans="1:9" x14ac:dyDescent="0.25">
      <c r="A68" s="25" t="str">
        <f xml:space="preserve"> MapNameLkup</f>
        <v>m_ofs_trex_ar_invoices</v>
      </c>
      <c r="B68" s="1" t="s">
        <v>854</v>
      </c>
      <c r="C68" s="1" t="s">
        <v>125</v>
      </c>
      <c r="D68" s="1" t="s">
        <v>66</v>
      </c>
      <c r="E68" s="1" t="s">
        <v>954</v>
      </c>
      <c r="F68" s="1" t="s">
        <v>125</v>
      </c>
      <c r="G68" s="1" t="s">
        <v>51</v>
      </c>
      <c r="H68" s="10" t="str">
        <f>CONCATENATE(Connectors[[#This Row],[FROMINSTANCE]],"::",Connectors[[#This Row],[FROMFIELD]],"::",Connectors[[#This Row],[FROMINSTANCETYPE]])</f>
        <v>UPD_ofs_ar_invoices_update::kme_ar_inv_no::Update Strategy</v>
      </c>
      <c r="I68" s="10" t="str">
        <f>CONCATENATE(Connectors[[#This Row],[TOINSTANCE]],"::",Connectors[[#This Row],[TOFIELD]],"::",Connectors[[#This Row],[TOINSTANCETYPE]])</f>
        <v>ofs_ar_invoices_update::kme_ar_inv_no::Target Definition</v>
      </c>
    </row>
    <row r="69" spans="1:9" x14ac:dyDescent="0.25">
      <c r="A69" s="25" t="str">
        <f xml:space="preserve"> MapNameLkup</f>
        <v>m_ofs_trex_ar_invoices</v>
      </c>
      <c r="B69" s="1" t="s">
        <v>854</v>
      </c>
      <c r="C69" s="1" t="s">
        <v>124</v>
      </c>
      <c r="D69" s="1" t="s">
        <v>66</v>
      </c>
      <c r="E69" s="1" t="s">
        <v>954</v>
      </c>
      <c r="F69" s="1" t="s">
        <v>124</v>
      </c>
      <c r="G69" s="1" t="s">
        <v>51</v>
      </c>
      <c r="H69" s="10" t="str">
        <f>CONCATENATE(Connectors[[#This Row],[FROMINSTANCE]],"::",Connectors[[#This Row],[FROMFIELD]],"::",Connectors[[#This Row],[FROMINSTANCETYPE]])</f>
        <v>UPD_ofs_ar_invoices_update::invoice_number::Update Strategy</v>
      </c>
      <c r="I69" s="10" t="str">
        <f>CONCATENATE(Connectors[[#This Row],[TOINSTANCE]],"::",Connectors[[#This Row],[TOFIELD]],"::",Connectors[[#This Row],[TOINSTANCETYPE]])</f>
        <v>ofs_ar_invoices_update::invoice_number::Target Definition</v>
      </c>
    </row>
    <row r="70" spans="1:9" x14ac:dyDescent="0.25">
      <c r="A70" s="25" t="str">
        <f xml:space="preserve"> MapNameLkup</f>
        <v>m_ofs_trex_ar_invoices</v>
      </c>
      <c r="B70" s="1" t="s">
        <v>854</v>
      </c>
      <c r="C70" s="1" t="s">
        <v>872</v>
      </c>
      <c r="D70" s="1" t="s">
        <v>66</v>
      </c>
      <c r="E70" s="1" t="s">
        <v>954</v>
      </c>
      <c r="F70" s="1" t="s">
        <v>123</v>
      </c>
      <c r="G70" s="1" t="s">
        <v>51</v>
      </c>
      <c r="H70" s="10" t="str">
        <f>CONCATENATE(Connectors[[#This Row],[FROMINSTANCE]],"::",Connectors[[#This Row],[FROMFIELD]],"::",Connectors[[#This Row],[FROMINSTANCETYPE]])</f>
        <v>UPD_ofs_ar_invoices_update::o_customer_trx_id::Update Strategy</v>
      </c>
      <c r="I70" s="10" t="str">
        <f>CONCATENATE(Connectors[[#This Row],[TOINSTANCE]],"::",Connectors[[#This Row],[TOFIELD]],"::",Connectors[[#This Row],[TOINSTANCETYPE]])</f>
        <v>ofs_ar_invoices_update::customer_trx_id::Target Definition</v>
      </c>
    </row>
    <row r="71" spans="1:9" x14ac:dyDescent="0.25">
      <c r="A71" s="25" t="str">
        <f xml:space="preserve"> MapNameLkup</f>
        <v>m_ofs_trex_ar_invoices</v>
      </c>
      <c r="B71" s="1" t="s">
        <v>854</v>
      </c>
      <c r="C71" s="1" t="s">
        <v>122</v>
      </c>
      <c r="D71" s="1" t="s">
        <v>66</v>
      </c>
      <c r="E71" s="1" t="s">
        <v>954</v>
      </c>
      <c r="F71" s="1" t="s">
        <v>122</v>
      </c>
      <c r="G71" s="1" t="s">
        <v>51</v>
      </c>
      <c r="H71" s="10" t="str">
        <f>CONCATENATE(Connectors[[#This Row],[FROMINSTANCE]],"::",Connectors[[#This Row],[FROMFIELD]],"::",Connectors[[#This Row],[FROMINSTANCETYPE]])</f>
        <v>UPD_ofs_ar_invoices_update::party_name::Update Strategy</v>
      </c>
      <c r="I71" s="10" t="str">
        <f>CONCATENATE(Connectors[[#This Row],[TOINSTANCE]],"::",Connectors[[#This Row],[TOFIELD]],"::",Connectors[[#This Row],[TOINSTANCETYPE]])</f>
        <v>ofs_ar_invoices_update::party_name::Target Definition</v>
      </c>
    </row>
    <row r="72" spans="1:9" x14ac:dyDescent="0.25">
      <c r="A72" s="25" t="str">
        <f xml:space="preserve"> MapNameLkup</f>
        <v>m_ofs_trex_ar_invoices</v>
      </c>
      <c r="B72" s="1" t="s">
        <v>854</v>
      </c>
      <c r="C72" s="1" t="s">
        <v>121</v>
      </c>
      <c r="D72" s="1" t="s">
        <v>66</v>
      </c>
      <c r="E72" s="1" t="s">
        <v>954</v>
      </c>
      <c r="F72" s="1" t="s">
        <v>121</v>
      </c>
      <c r="G72" s="1" t="s">
        <v>51</v>
      </c>
      <c r="H72" s="10" t="str">
        <f>CONCATENATE(Connectors[[#This Row],[FROMINSTANCE]],"::",Connectors[[#This Row],[FROMFIELD]],"::",Connectors[[#This Row],[FROMINSTANCETYPE]])</f>
        <v>UPD_ofs_ar_invoices_update::account_number::Update Strategy</v>
      </c>
      <c r="I72" s="10" t="str">
        <f>CONCATENATE(Connectors[[#This Row],[TOINSTANCE]],"::",Connectors[[#This Row],[TOFIELD]],"::",Connectors[[#This Row],[TOINSTANCETYPE]])</f>
        <v>ofs_ar_invoices_update::account_number::Target Definition</v>
      </c>
    </row>
    <row r="73" spans="1:9" x14ac:dyDescent="0.25">
      <c r="A73" s="25" t="str">
        <f xml:space="preserve"> MapNameLkup</f>
        <v>m_ofs_trex_ar_invoices</v>
      </c>
      <c r="B73" s="1" t="s">
        <v>854</v>
      </c>
      <c r="C73" s="1" t="s">
        <v>120</v>
      </c>
      <c r="D73" s="1" t="s">
        <v>66</v>
      </c>
      <c r="E73" s="1" t="s">
        <v>954</v>
      </c>
      <c r="F73" s="1" t="s">
        <v>120</v>
      </c>
      <c r="G73" s="1" t="s">
        <v>51</v>
      </c>
      <c r="H73" s="10" t="str">
        <f>CONCATENATE(Connectors[[#This Row],[FROMINSTANCE]],"::",Connectors[[#This Row],[FROMFIELD]],"::",Connectors[[#This Row],[FROMINSTANCETYPE]])</f>
        <v>UPD_ofs_ar_invoices_update::company_description::Update Strategy</v>
      </c>
      <c r="I73" s="10" t="str">
        <f>CONCATENATE(Connectors[[#This Row],[TOINSTANCE]],"::",Connectors[[#This Row],[TOFIELD]],"::",Connectors[[#This Row],[TOINSTANCETYPE]])</f>
        <v>ofs_ar_invoices_update::company_description::Target Definition</v>
      </c>
    </row>
    <row r="74" spans="1:9" x14ac:dyDescent="0.25">
      <c r="A74" s="25" t="str">
        <f xml:space="preserve"> MapNameLkup</f>
        <v>m_ofs_trex_ar_invoices</v>
      </c>
      <c r="B74" s="1" t="s">
        <v>854</v>
      </c>
      <c r="C74" s="1" t="s">
        <v>119</v>
      </c>
      <c r="D74" s="1" t="s">
        <v>66</v>
      </c>
      <c r="E74" s="1" t="s">
        <v>954</v>
      </c>
      <c r="F74" s="1" t="s">
        <v>119</v>
      </c>
      <c r="G74" s="1" t="s">
        <v>51</v>
      </c>
      <c r="H74" s="10" t="str">
        <f>CONCATENATE(Connectors[[#This Row],[FROMINSTANCE]],"::",Connectors[[#This Row],[FROMFIELD]],"::",Connectors[[#This Row],[FROMINSTANCETYPE]])</f>
        <v>UPD_ofs_ar_invoices_update::company::Update Strategy</v>
      </c>
      <c r="I74" s="10" t="str">
        <f>CONCATENATE(Connectors[[#This Row],[TOINSTANCE]],"::",Connectors[[#This Row],[TOFIELD]],"::",Connectors[[#This Row],[TOINSTANCETYPE]])</f>
        <v>ofs_ar_invoices_update::company::Target Definition</v>
      </c>
    </row>
    <row r="75" spans="1:9" x14ac:dyDescent="0.25">
      <c r="A75" s="25" t="str">
        <f xml:space="preserve"> MapNameLkup</f>
        <v>m_ofs_trex_ar_invoices</v>
      </c>
      <c r="B75" s="1" t="s">
        <v>854</v>
      </c>
      <c r="C75" s="1" t="s">
        <v>871</v>
      </c>
      <c r="D75" s="1" t="s">
        <v>66</v>
      </c>
      <c r="E75" s="1" t="s">
        <v>954</v>
      </c>
      <c r="F75" s="1" t="s">
        <v>118</v>
      </c>
      <c r="G75" s="1" t="s">
        <v>51</v>
      </c>
      <c r="H75" s="10" t="str">
        <f>CONCATENATE(Connectors[[#This Row],[FROMINSTANCE]],"::",Connectors[[#This Row],[FROMFIELD]],"::",Connectors[[#This Row],[FROMINSTANCETYPE]])</f>
        <v>UPD_ofs_ar_invoices_update::o_batch_source_id::Update Strategy</v>
      </c>
      <c r="I75" s="10" t="str">
        <f>CONCATENATE(Connectors[[#This Row],[TOINSTANCE]],"::",Connectors[[#This Row],[TOFIELD]],"::",Connectors[[#This Row],[TOINSTANCETYPE]])</f>
        <v>ofs_ar_invoices_update::batch_source_id::Target Definition</v>
      </c>
    </row>
    <row r="76" spans="1:9" x14ac:dyDescent="0.25">
      <c r="A76" s="25" t="str">
        <f xml:space="preserve"> MapNameLkup</f>
        <v>m_ofs_trex_ar_invoices</v>
      </c>
      <c r="B76" s="1" t="s">
        <v>854</v>
      </c>
      <c r="C76" s="1" t="s">
        <v>870</v>
      </c>
      <c r="D76" s="1" t="s">
        <v>66</v>
      </c>
      <c r="E76" s="1" t="s">
        <v>954</v>
      </c>
      <c r="F76" s="1" t="s">
        <v>117</v>
      </c>
      <c r="G76" s="1" t="s">
        <v>51</v>
      </c>
      <c r="H76" s="10" t="str">
        <f>CONCATENATE(Connectors[[#This Row],[FROMINSTANCE]],"::",Connectors[[#This Row],[FROMFIELD]],"::",Connectors[[#This Row],[FROMINSTANCETYPE]])</f>
        <v>UPD_ofs_ar_invoices_update::o_org_id::Update Strategy</v>
      </c>
      <c r="I76" s="10" t="str">
        <f>CONCATENATE(Connectors[[#This Row],[TOINSTANCE]],"::",Connectors[[#This Row],[TOFIELD]],"::",Connectors[[#This Row],[TOINSTANCETYPE]])</f>
        <v>ofs_ar_invoices_update::org_id::Target Definition</v>
      </c>
    </row>
    <row r="77" spans="1:9" x14ac:dyDescent="0.25">
      <c r="A77" s="25" t="str">
        <f xml:space="preserve"> MapNameLkup</f>
        <v>m_ofs_trex_ar_invoices</v>
      </c>
      <c r="B77" s="1" t="s">
        <v>854</v>
      </c>
      <c r="C77" s="1" t="s">
        <v>116</v>
      </c>
      <c r="D77" s="1" t="s">
        <v>66</v>
      </c>
      <c r="E77" s="1" t="s">
        <v>954</v>
      </c>
      <c r="F77" s="1" t="s">
        <v>116</v>
      </c>
      <c r="G77" s="1" t="s">
        <v>51</v>
      </c>
      <c r="H77" s="10" t="str">
        <f>CONCATENATE(Connectors[[#This Row],[FROMINSTANCE]],"::",Connectors[[#This Row],[FROMFIELD]],"::",Connectors[[#This Row],[FROMINSTANCETYPE]])</f>
        <v>UPD_ofs_ar_invoices_update::batch_name::Update Strategy</v>
      </c>
      <c r="I77" s="10" t="str">
        <f>CONCATENATE(Connectors[[#This Row],[TOINSTANCE]],"::",Connectors[[#This Row],[TOFIELD]],"::",Connectors[[#This Row],[TOINSTANCETYPE]])</f>
        <v>ofs_ar_invoices_update::batch_name::Target Definition</v>
      </c>
    </row>
    <row r="78" spans="1:9" x14ac:dyDescent="0.25">
      <c r="A78" s="25" t="str">
        <f xml:space="preserve"> MapNameLkup</f>
        <v>m_ofs_trex_ar_invoices</v>
      </c>
      <c r="B78" s="1" t="s">
        <v>854</v>
      </c>
      <c r="C78" s="1" t="s">
        <v>115</v>
      </c>
      <c r="D78" s="1" t="s">
        <v>66</v>
      </c>
      <c r="E78" s="1" t="s">
        <v>954</v>
      </c>
      <c r="F78" s="1" t="s">
        <v>115</v>
      </c>
      <c r="G78" s="1" t="s">
        <v>51</v>
      </c>
      <c r="H78" s="10" t="str">
        <f>CONCATENATE(Connectors[[#This Row],[FROMINSTANCE]],"::",Connectors[[#This Row],[FROMFIELD]],"::",Connectors[[#This Row],[FROMINSTANCETYPE]])</f>
        <v>UPD_ofs_ar_invoices_update::batch_id::Update Strategy</v>
      </c>
      <c r="I78" s="10" t="str">
        <f>CONCATENATE(Connectors[[#This Row],[TOINSTANCE]],"::",Connectors[[#This Row],[TOFIELD]],"::",Connectors[[#This Row],[TOINSTANCETYPE]])</f>
        <v>ofs_ar_invoices_update::batch_id::Target Definition</v>
      </c>
    </row>
    <row r="79" spans="1:9" x14ac:dyDescent="0.25">
      <c r="A79" s="25" t="str">
        <f xml:space="preserve"> MapNameLkup</f>
        <v>m_ofs_trex_ar_invoices</v>
      </c>
      <c r="B79" s="1" t="s">
        <v>854</v>
      </c>
      <c r="C79" s="1" t="s">
        <v>129</v>
      </c>
      <c r="D79" s="1" t="s">
        <v>66</v>
      </c>
      <c r="E79" s="1" t="s">
        <v>954</v>
      </c>
      <c r="F79" s="1" t="s">
        <v>129</v>
      </c>
      <c r="G79" s="1" t="s">
        <v>51</v>
      </c>
      <c r="H79" s="10" t="str">
        <f>CONCATENATE(Connectors[[#This Row],[FROMINSTANCE]],"::",Connectors[[#This Row],[FROMFIELD]],"::",Connectors[[#This Row],[FROMINSTANCETYPE]])</f>
        <v>UPD_ofs_ar_invoices_update::offset_nat_acct_no::Update Strategy</v>
      </c>
      <c r="I79" s="10" t="str">
        <f>CONCATENATE(Connectors[[#This Row],[TOINSTANCE]],"::",Connectors[[#This Row],[TOFIELD]],"::",Connectors[[#This Row],[TOINSTANCETYPE]])</f>
        <v>ofs_ar_invoices_update::offset_nat_acct_no::Target Definition</v>
      </c>
    </row>
    <row r="80" spans="1:9" x14ac:dyDescent="0.25">
      <c r="A80" s="25" t="str">
        <f xml:space="preserve"> MapNameLkup</f>
        <v>m_ofs_trex_ar_invoices</v>
      </c>
      <c r="B80" s="1" t="s">
        <v>854</v>
      </c>
      <c r="C80" s="1" t="s">
        <v>114</v>
      </c>
      <c r="D80" s="1" t="s">
        <v>66</v>
      </c>
      <c r="E80" s="1" t="s">
        <v>954</v>
      </c>
      <c r="F80" s="1" t="s">
        <v>114</v>
      </c>
      <c r="G80" s="1" t="s">
        <v>51</v>
      </c>
      <c r="H80" s="10" t="str">
        <f>CONCATENATE(Connectors[[#This Row],[FROMINSTANCE]],"::",Connectors[[#This Row],[FROMFIELD]],"::",Connectors[[#This Row],[FROMINSTANCETYPE]])</f>
        <v>UPD_ofs_ar_invoices_update::extn_sys_cd::Update Strategy</v>
      </c>
      <c r="I80" s="10" t="str">
        <f>CONCATENATE(Connectors[[#This Row],[TOINSTANCE]],"::",Connectors[[#This Row],[TOFIELD]],"::",Connectors[[#This Row],[TOINSTANCETYPE]])</f>
        <v>ofs_ar_invoices_update::extn_sys_cd::Target Definition</v>
      </c>
    </row>
    <row r="81" spans="1:9" x14ac:dyDescent="0.25">
      <c r="A81" s="25" t="str">
        <f xml:space="preserve"> MapNameLkup</f>
        <v>m_ofs_trex_ar_invoices</v>
      </c>
      <c r="B81" s="1" t="s">
        <v>854</v>
      </c>
      <c r="C81" s="1" t="s">
        <v>113</v>
      </c>
      <c r="D81" s="1" t="s">
        <v>66</v>
      </c>
      <c r="E81" s="1" t="s">
        <v>954</v>
      </c>
      <c r="F81" s="1" t="s">
        <v>113</v>
      </c>
      <c r="G81" s="1" t="s">
        <v>51</v>
      </c>
      <c r="H81" s="10" t="str">
        <f>CONCATENATE(Connectors[[#This Row],[FROMINSTANCE]],"::",Connectors[[#This Row],[FROMFIELD]],"::",Connectors[[#This Row],[FROMINSTANCETYPE]])</f>
        <v>UPD_ofs_ar_invoices_update::etl_trans_id::Update Strategy</v>
      </c>
      <c r="I81" s="10" t="str">
        <f>CONCATENATE(Connectors[[#This Row],[TOINSTANCE]],"::",Connectors[[#This Row],[TOFIELD]],"::",Connectors[[#This Row],[TOINSTANCETYPE]])</f>
        <v>ofs_ar_invoices_update::etl_trans_id::Target Definition</v>
      </c>
    </row>
    <row r="82" spans="1:9" x14ac:dyDescent="0.25">
      <c r="A82" s="25" t="str">
        <f xml:space="preserve"> MapNameLkup</f>
        <v>m_ofs_trex_ar_invoices</v>
      </c>
      <c r="B82" s="1" t="s">
        <v>854</v>
      </c>
      <c r="C82" s="1" t="s">
        <v>112</v>
      </c>
      <c r="D82" s="1" t="s">
        <v>66</v>
      </c>
      <c r="E82" s="1" t="s">
        <v>954</v>
      </c>
      <c r="F82" s="1" t="s">
        <v>112</v>
      </c>
      <c r="G82" s="1" t="s">
        <v>51</v>
      </c>
      <c r="H82" s="10" t="str">
        <f>CONCATENATE(Connectors[[#This Row],[FROMINSTANCE]],"::",Connectors[[#This Row],[FROMFIELD]],"::",Connectors[[#This Row],[FROMINSTANCETYPE]])</f>
        <v>UPD_ofs_ar_invoices_update::invoice_rec_id::Update Strategy</v>
      </c>
      <c r="I82" s="10" t="str">
        <f>CONCATENATE(Connectors[[#This Row],[TOINSTANCE]],"::",Connectors[[#This Row],[TOFIELD]],"::",Connectors[[#This Row],[TOINSTANCETYPE]])</f>
        <v>ofs_ar_invoices_update::invoice_rec_id::Target Definition</v>
      </c>
    </row>
    <row r="83" spans="1:9" x14ac:dyDescent="0.25">
      <c r="A83" s="25" t="str">
        <f xml:space="preserve"> MapNameLkup</f>
        <v>m_ofs_trex_ar_invoices</v>
      </c>
      <c r="B83" s="1" t="s">
        <v>854</v>
      </c>
      <c r="C83" s="1" t="s">
        <v>146</v>
      </c>
      <c r="D83" s="1" t="s">
        <v>66</v>
      </c>
      <c r="E83" s="1" t="s">
        <v>954</v>
      </c>
      <c r="F83" s="1" t="s">
        <v>146</v>
      </c>
      <c r="G83" s="1" t="s">
        <v>51</v>
      </c>
      <c r="H83" s="10" t="str">
        <f>CONCATENATE(Connectors[[#This Row],[FROMINSTANCE]],"::",Connectors[[#This Row],[FROMFIELD]],"::",Connectors[[#This Row],[FROMINSTANCETYPE]])</f>
        <v>UPD_ofs_ar_invoices_update::aud_dim_id::Update Strategy</v>
      </c>
      <c r="I83" s="10" t="str">
        <f>CONCATENATE(Connectors[[#This Row],[TOINSTANCE]],"::",Connectors[[#This Row],[TOFIELD]],"::",Connectors[[#This Row],[TOINSTANCETYPE]])</f>
        <v>ofs_ar_invoices_update::aud_dim_id::Target Definition</v>
      </c>
    </row>
    <row r="84" spans="1:9" x14ac:dyDescent="0.25">
      <c r="A84" s="25" t="str">
        <f xml:space="preserve"> MapNameLkup</f>
        <v>m_ofs_trex_ar_invoices</v>
      </c>
      <c r="B84" s="1" t="s">
        <v>854</v>
      </c>
      <c r="C84" s="1" t="s">
        <v>866</v>
      </c>
      <c r="D84" s="1" t="s">
        <v>66</v>
      </c>
      <c r="E84" s="1" t="s">
        <v>954</v>
      </c>
      <c r="F84" s="1" t="s">
        <v>152</v>
      </c>
      <c r="G84" s="1" t="s">
        <v>51</v>
      </c>
      <c r="H84" s="10" t="str">
        <f>CONCATENATE(Connectors[[#This Row],[FROMINSTANCE]],"::",Connectors[[#This Row],[FROMFIELD]],"::",Connectors[[#This Row],[FROMINSTANCETYPE]])</f>
        <v>UPD_ofs_ar_invoices_update::session_start_time::Update Strategy</v>
      </c>
      <c r="I84" s="10" t="str">
        <f>CONCATENATE(Connectors[[#This Row],[TOINSTANCE]],"::",Connectors[[#This Row],[TOFIELD]],"::",Connectors[[#This Row],[TOINSTANCETYPE]])</f>
        <v>ofs_ar_invoices_update::mod_ts::Target Definition</v>
      </c>
    </row>
    <row r="85" spans="1:9" x14ac:dyDescent="0.25">
      <c r="A85" s="25" t="str">
        <f xml:space="preserve"> MapNameLkup</f>
        <v>m_ofs_trex_ar_invoices</v>
      </c>
      <c r="B85" s="1" t="s">
        <v>854</v>
      </c>
      <c r="C85" s="1" t="s">
        <v>878</v>
      </c>
      <c r="D85" s="1" t="s">
        <v>66</v>
      </c>
      <c r="E85" s="1" t="s">
        <v>954</v>
      </c>
      <c r="F85" s="1" t="s">
        <v>136</v>
      </c>
      <c r="G85" s="1" t="s">
        <v>51</v>
      </c>
      <c r="H85" s="10" t="str">
        <f>CONCATENATE(Connectors[[#This Row],[FROMINSTANCE]],"::",Connectors[[#This Row],[FROMFIELD]],"::",Connectors[[#This Row],[FROMINSTANCETYPE]])</f>
        <v>UPD_ofs_ar_invoices_update::o_amount_due_remaining::Update Strategy</v>
      </c>
      <c r="I85" s="10" t="str">
        <f>CONCATENATE(Connectors[[#This Row],[TOINSTANCE]],"::",Connectors[[#This Row],[TOFIELD]],"::",Connectors[[#This Row],[TOINSTANCETYPE]])</f>
        <v>ofs_ar_invoices_update::amount_due_remaining::Target Definition</v>
      </c>
    </row>
    <row r="86" spans="1:9" x14ac:dyDescent="0.25">
      <c r="A86" s="25" t="str">
        <f xml:space="preserve"> MapNameLkup</f>
        <v>m_ofs_trex_ar_invoices</v>
      </c>
      <c r="B86" s="1" t="s">
        <v>856</v>
      </c>
      <c r="C86" s="1" t="s">
        <v>123</v>
      </c>
      <c r="D86" s="1" t="s">
        <v>66</v>
      </c>
      <c r="E86" s="1" t="s">
        <v>828</v>
      </c>
      <c r="F86" s="1" t="s">
        <v>833</v>
      </c>
      <c r="G86" s="1" t="s">
        <v>51</v>
      </c>
      <c r="H86" s="10" t="str">
        <f>CONCATENATE(Connectors[[#This Row],[FROMINSTANCE]],"::",Connectors[[#This Row],[FROMFIELD]],"::",Connectors[[#This Row],[FROMINSTANCETYPE]])</f>
        <v>UPD_trex_ofs_info_min_lkp::customer_trx_id::Update Strategy</v>
      </c>
      <c r="I86" s="10" t="str">
        <f>CONCATENATE(Connectors[[#This Row],[TOINSTANCE]],"::",Connectors[[#This Row],[TOFIELD]],"::",Connectors[[#This Row],[TOINSTANCETYPE]])</f>
        <v>trex_ofs_info::info_val_num::Target Definition</v>
      </c>
    </row>
    <row r="87" spans="1:9" x14ac:dyDescent="0.25">
      <c r="A87" s="25" t="str">
        <f xml:space="preserve"> MapNameLkup</f>
        <v>m_ofs_trex_ar_invoices</v>
      </c>
      <c r="B87" s="1" t="s">
        <v>856</v>
      </c>
      <c r="C87" s="1" t="s">
        <v>830</v>
      </c>
      <c r="D87" s="1" t="s">
        <v>66</v>
      </c>
      <c r="E87" s="1" t="s">
        <v>828</v>
      </c>
      <c r="F87" s="1" t="s">
        <v>830</v>
      </c>
      <c r="G87" s="1" t="s">
        <v>51</v>
      </c>
      <c r="H87" s="10" t="str">
        <f>CONCATENATE(Connectors[[#This Row],[FROMINSTANCE]],"::",Connectors[[#This Row],[FROMFIELD]],"::",Connectors[[#This Row],[FROMINSTANCETYPE]])</f>
        <v>UPD_trex_ofs_info_min_lkp::info_cd::Update Strategy</v>
      </c>
      <c r="I87" s="10" t="str">
        <f>CONCATENATE(Connectors[[#This Row],[TOINSTANCE]],"::",Connectors[[#This Row],[TOFIELD]],"::",Connectors[[#This Row],[TOINSTANCETYPE]])</f>
        <v>trex_ofs_info::info_cd::Target Definition</v>
      </c>
    </row>
    <row r="88" spans="1:9" x14ac:dyDescent="0.25">
      <c r="A88" s="25" t="str">
        <f xml:space="preserve"> MapNameLkup</f>
        <v>m_ofs_trex_ar_invoices</v>
      </c>
      <c r="B88" s="1" t="s">
        <v>856</v>
      </c>
      <c r="C88" s="1" t="s">
        <v>865</v>
      </c>
      <c r="D88" s="1" t="s">
        <v>66</v>
      </c>
      <c r="E88" s="1" t="s">
        <v>828</v>
      </c>
      <c r="F88" s="1" t="s">
        <v>836</v>
      </c>
      <c r="G88" s="1" t="s">
        <v>51</v>
      </c>
      <c r="H88" s="10" t="str">
        <f>CONCATENATE(Connectors[[#This Row],[FROMINSTANCE]],"::",Connectors[[#This Row],[FROMFIELD]],"::",Connectors[[#This Row],[FROMINSTANCETYPE]])</f>
        <v>UPD_trex_ofs_info_min_lkp::mod_user::Update Strategy</v>
      </c>
      <c r="I88" s="10" t="str">
        <f>CONCATENATE(Connectors[[#This Row],[TOINSTANCE]],"::",Connectors[[#This Row],[TOFIELD]],"::",Connectors[[#This Row],[TOINSTANCETYPE]])</f>
        <v>trex_ofs_info::info_mod_user::Target Definition</v>
      </c>
    </row>
    <row r="89" spans="1:9" x14ac:dyDescent="0.25">
      <c r="A89" s="25" t="str">
        <f xml:space="preserve"> MapNameLkup</f>
        <v>m_ofs_trex_ar_invoices</v>
      </c>
      <c r="B89" s="1" t="s">
        <v>856</v>
      </c>
      <c r="C89" s="1" t="s">
        <v>866</v>
      </c>
      <c r="D89" s="1" t="s">
        <v>66</v>
      </c>
      <c r="E89" s="1" t="s">
        <v>828</v>
      </c>
      <c r="F89" s="1" t="s">
        <v>837</v>
      </c>
      <c r="G89" s="1" t="s">
        <v>51</v>
      </c>
      <c r="H89" s="10" t="str">
        <f>CONCATENATE(Connectors[[#This Row],[FROMINSTANCE]],"::",Connectors[[#This Row],[FROMFIELD]],"::",Connectors[[#This Row],[FROMINSTANCETYPE]])</f>
        <v>UPD_trex_ofs_info_min_lkp::session_start_time::Update Strategy</v>
      </c>
      <c r="I89" s="10" t="str">
        <f>CONCATENATE(Connectors[[#This Row],[TOINSTANCE]],"::",Connectors[[#This Row],[TOFIELD]],"::",Connectors[[#This Row],[TOINSTANCETYPE]])</f>
        <v>trex_ofs_info::info_mod_ts::Target Definition</v>
      </c>
    </row>
    <row r="90" spans="1:9" x14ac:dyDescent="0.25">
      <c r="A90" s="25" t="str">
        <f xml:space="preserve"> MapNameLkup</f>
        <v>m_ofs_trex_ar_invoices</v>
      </c>
      <c r="B90" s="1" t="s">
        <v>104</v>
      </c>
      <c r="C90" s="1" t="s">
        <v>754</v>
      </c>
      <c r="D90" s="1" t="s">
        <v>52</v>
      </c>
      <c r="E90" s="1" t="s">
        <v>845</v>
      </c>
      <c r="F90" s="1" t="s">
        <v>122</v>
      </c>
      <c r="G90" s="1" t="s">
        <v>7</v>
      </c>
      <c r="H90" s="10" t="str">
        <f>CONCATENATE(Connectors[[#This Row],[FROMINSTANCE]],"::",Connectors[[#This Row],[FROMFIELD]],"::",Connectors[[#This Row],[FROMINSTANCETYPE]])</f>
        <v>HZ_PARTIES::PARTY_NAME::Source Definition</v>
      </c>
      <c r="I90" s="10" t="str">
        <f>CONCATENATE(Connectors[[#This Row],[TOINSTANCE]],"::",Connectors[[#This Row],[TOFIELD]],"::",Connectors[[#This Row],[TOINSTANCETYPE]])</f>
        <v>SQ_ofs_ar_invoices::party_name::Source Qualifier</v>
      </c>
    </row>
    <row r="91" spans="1:9" x14ac:dyDescent="0.25">
      <c r="A91" s="25" t="str">
        <f xml:space="preserve"> MapNameLkup</f>
        <v>m_ofs_trex_ar_invoices</v>
      </c>
      <c r="B91" s="1" t="s">
        <v>103</v>
      </c>
      <c r="C91" s="1" t="s">
        <v>741</v>
      </c>
      <c r="D91" s="1" t="s">
        <v>52</v>
      </c>
      <c r="E91" s="1" t="s">
        <v>845</v>
      </c>
      <c r="F91" s="1" t="s">
        <v>131</v>
      </c>
      <c r="G91" s="1" t="s">
        <v>7</v>
      </c>
      <c r="H91" s="10" t="str">
        <f>CONCATENATE(Connectors[[#This Row],[FROMINSTANCE]],"::",Connectors[[#This Row],[FROMFIELD]],"::",Connectors[[#This Row],[FROMINSTANCETYPE]])</f>
        <v>RA_CUST_TRX_LINE_GL_DIST_ALL::ACCTD_AMOUNT::Source Definition</v>
      </c>
      <c r="I91" s="10" t="str">
        <f>CONCATENATE(Connectors[[#This Row],[TOINSTANCE]],"::",Connectors[[#This Row],[TOFIELD]],"::",Connectors[[#This Row],[TOINSTANCETYPE]])</f>
        <v>SQ_ofs_ar_invoices::acctd_amount::Source Qualifier</v>
      </c>
    </row>
    <row r="92" spans="1:9" x14ac:dyDescent="0.25">
      <c r="A92" s="25" t="str">
        <f xml:space="preserve"> MapNameLkup</f>
        <v>m_ofs_trex_ar_invoices</v>
      </c>
      <c r="B92" s="1" t="s">
        <v>103</v>
      </c>
      <c r="C92" s="1" t="s">
        <v>422</v>
      </c>
      <c r="D92" s="1" t="s">
        <v>52</v>
      </c>
      <c r="E92" s="1" t="s">
        <v>845</v>
      </c>
      <c r="F92" s="1" t="s">
        <v>144</v>
      </c>
      <c r="G92" s="1" t="s">
        <v>7</v>
      </c>
      <c r="H92" s="10" t="str">
        <f>CONCATENATE(Connectors[[#This Row],[FROMINSTANCE]],"::",Connectors[[#This Row],[FROMFIELD]],"::",Connectors[[#This Row],[FROMINSTANCETYPE]])</f>
        <v>RA_CUST_TRX_LINE_GL_DIST_ALL::GL_POSTED_DATE::Source Definition</v>
      </c>
      <c r="I92" s="10" t="str">
        <f>CONCATENATE(Connectors[[#This Row],[TOINSTANCE]],"::",Connectors[[#This Row],[TOFIELD]],"::",Connectors[[#This Row],[TOINSTANCETYPE]])</f>
        <v>SQ_ofs_ar_invoices::invoice_gl_posted_date::Source Qualifier</v>
      </c>
    </row>
    <row r="93" spans="1:9" x14ac:dyDescent="0.25">
      <c r="A93" s="25" t="str">
        <f xml:space="preserve"> MapNameLkup</f>
        <v>m_ofs_trex_ar_invoices</v>
      </c>
      <c r="B93" s="1" t="s">
        <v>103</v>
      </c>
      <c r="C93" s="1" t="s">
        <v>376</v>
      </c>
      <c r="D93" s="1" t="s">
        <v>52</v>
      </c>
      <c r="E93" s="1" t="s">
        <v>845</v>
      </c>
      <c r="F93" s="1" t="s">
        <v>145</v>
      </c>
      <c r="G93" s="1" t="s">
        <v>7</v>
      </c>
      <c r="H93" s="10" t="str">
        <f>CONCATENATE(Connectors[[#This Row],[FROMINSTANCE]],"::",Connectors[[#This Row],[FROMFIELD]],"::",Connectors[[#This Row],[FROMINSTANCETYPE]])</f>
        <v>RA_CUST_TRX_LINE_GL_DIST_ALL::GL_DATE::Source Definition</v>
      </c>
      <c r="I93" s="10" t="str">
        <f>CONCATENATE(Connectors[[#This Row],[TOINSTANCE]],"::",Connectors[[#This Row],[TOFIELD]],"::",Connectors[[#This Row],[TOINSTANCETYPE]])</f>
        <v>SQ_ofs_ar_invoices::invoice_gl_date::Source Qualifier</v>
      </c>
    </row>
    <row r="94" spans="1:9" x14ac:dyDescent="0.25">
      <c r="A94" s="25" t="str">
        <f xml:space="preserve"> MapNameLkup</f>
        <v>m_ofs_trex_ar_invoices</v>
      </c>
      <c r="B94" s="1" t="s">
        <v>103</v>
      </c>
      <c r="C94" s="1" t="s">
        <v>156</v>
      </c>
      <c r="D94" s="1" t="s">
        <v>52</v>
      </c>
      <c r="E94" s="1" t="s">
        <v>845</v>
      </c>
      <c r="F94" s="1" t="s">
        <v>142</v>
      </c>
      <c r="G94" s="1" t="s">
        <v>7</v>
      </c>
      <c r="H94" s="10" t="str">
        <f>CONCATENATE(Connectors[[#This Row],[FROMINSTANCE]],"::",Connectors[[#This Row],[FROMFIELD]],"::",Connectors[[#This Row],[FROMINSTANCETYPE]])</f>
        <v>RA_CUST_TRX_LINE_GL_DIST_ALL::CREATION_DATE::Source Definition</v>
      </c>
      <c r="I94" s="10" t="str">
        <f>CONCATENATE(Connectors[[#This Row],[TOINSTANCE]],"::",Connectors[[#This Row],[TOFIELD]],"::",Connectors[[#This Row],[TOINSTANCETYPE]])</f>
        <v>SQ_ofs_ar_invoices::invoice_creation_date::Source Qualifier</v>
      </c>
    </row>
    <row r="95" spans="1:9" x14ac:dyDescent="0.25">
      <c r="A95" s="25" t="str">
        <f xml:space="preserve"> MapNameLkup</f>
        <v>m_ofs_trex_ar_invoices</v>
      </c>
      <c r="B95" s="1" t="s">
        <v>103</v>
      </c>
      <c r="C95" s="1" t="s">
        <v>154</v>
      </c>
      <c r="D95" s="1" t="s">
        <v>52</v>
      </c>
      <c r="E95" s="1" t="s">
        <v>845</v>
      </c>
      <c r="F95" s="1" t="s">
        <v>143</v>
      </c>
      <c r="G95" s="1" t="s">
        <v>7</v>
      </c>
      <c r="H95" s="10" t="str">
        <f>CONCATENATE(Connectors[[#This Row],[FROMINSTANCE]],"::",Connectors[[#This Row],[FROMFIELD]],"::",Connectors[[#This Row],[FROMINSTANCETYPE]])</f>
        <v>RA_CUST_TRX_LINE_GL_DIST_ALL::LAST_UPDATE_DATE::Source Definition</v>
      </c>
      <c r="I95" s="10" t="str">
        <f>CONCATENATE(Connectors[[#This Row],[TOINSTANCE]],"::",Connectors[[#This Row],[TOFIELD]],"::",Connectors[[#This Row],[TOINSTANCETYPE]])</f>
        <v>SQ_ofs_ar_invoices::invoice_last_update_date::Source Qualifier</v>
      </c>
    </row>
    <row r="96" spans="1:9" x14ac:dyDescent="0.25">
      <c r="A96" s="25" t="str">
        <f xml:space="preserve"> MapNameLkup</f>
        <v>m_ofs_trex_ar_invoices</v>
      </c>
      <c r="B96" s="1" t="s">
        <v>103</v>
      </c>
      <c r="C96" s="1" t="s">
        <v>735</v>
      </c>
      <c r="D96" s="1" t="s">
        <v>52</v>
      </c>
      <c r="E96" s="1" t="s">
        <v>845</v>
      </c>
      <c r="F96" s="1" t="s">
        <v>132</v>
      </c>
      <c r="G96" s="1" t="s">
        <v>7</v>
      </c>
      <c r="H96" s="10" t="str">
        <f>CONCATENATE(Connectors[[#This Row],[FROMINSTANCE]],"::",Connectors[[#This Row],[FROMFIELD]],"::",Connectors[[#This Row],[FROMINSTANCETYPE]])</f>
        <v>RA_CUST_TRX_LINE_GL_DIST_ALL::AMOUNT::Source Definition</v>
      </c>
      <c r="I96" s="10" t="str">
        <f>CONCATENATE(Connectors[[#This Row],[TOINSTANCE]],"::",Connectors[[#This Row],[TOFIELD]],"::",Connectors[[#This Row],[TOINSTANCETYPE]])</f>
        <v>SQ_ofs_ar_invoices::amount::Source Qualifier</v>
      </c>
    </row>
    <row r="97" spans="1:9" x14ac:dyDescent="0.25">
      <c r="A97" s="25" t="str">
        <f xml:space="preserve"> MapNameLkup</f>
        <v>m_ofs_trex_ar_invoices</v>
      </c>
      <c r="B97" s="1" t="s">
        <v>952</v>
      </c>
      <c r="C97" s="1" t="s">
        <v>326</v>
      </c>
      <c r="D97" s="1" t="s">
        <v>52</v>
      </c>
      <c r="E97" s="1" t="s">
        <v>848</v>
      </c>
      <c r="F97" s="1" t="s">
        <v>123</v>
      </c>
      <c r="G97" s="1" t="s">
        <v>7</v>
      </c>
      <c r="H97" s="10" t="str">
        <f>CONCATENATE(Connectors[[#This Row],[FROMINSTANCE]],"::",Connectors[[#This Row],[FROMFIELD]],"::",Connectors[[#This Row],[FROMINSTANCETYPE]])</f>
        <v>RA_CUSTOMER_TRX_ALL1::CUSTOMER_TRX_ID::Source Definition</v>
      </c>
      <c r="I97" s="10" t="str">
        <f>CONCATENATE(Connectors[[#This Row],[TOINSTANCE]],"::",Connectors[[#This Row],[TOFIELD]],"::",Connectors[[#This Row],[TOINSTANCETYPE]])</f>
        <v>SQ_min_lkp::customer_trx_id::Source Qualifier</v>
      </c>
    </row>
    <row r="98" spans="1:9" x14ac:dyDescent="0.25">
      <c r="A98" s="25" t="str">
        <f xml:space="preserve"> MapNameLkup</f>
        <v>m_ofs_trex_ar_invoices</v>
      </c>
      <c r="B98" s="1" t="s">
        <v>102</v>
      </c>
      <c r="C98" s="1" t="s">
        <v>326</v>
      </c>
      <c r="D98" s="1" t="s">
        <v>52</v>
      </c>
      <c r="E98" s="1" t="s">
        <v>845</v>
      </c>
      <c r="F98" s="1" t="s">
        <v>123</v>
      </c>
      <c r="G98" s="1" t="s">
        <v>7</v>
      </c>
      <c r="H98" s="10" t="str">
        <f>CONCATENATE(Connectors[[#This Row],[FROMINSTANCE]],"::",Connectors[[#This Row],[FROMFIELD]],"::",Connectors[[#This Row],[FROMINSTANCETYPE]])</f>
        <v>RA_CUSTOMER_TRX_ALL::CUSTOMER_TRX_ID::Source Definition</v>
      </c>
      <c r="I98" s="10" t="str">
        <f>CONCATENATE(Connectors[[#This Row],[TOINSTANCE]],"::",Connectors[[#This Row],[TOFIELD]],"::",Connectors[[#This Row],[TOINSTANCETYPE]])</f>
        <v>SQ_ofs_ar_invoices::customer_trx_id::Source Qualifier</v>
      </c>
    </row>
    <row r="99" spans="1:9" x14ac:dyDescent="0.25">
      <c r="A99" s="25" t="str">
        <f xml:space="preserve"> MapNameLkup</f>
        <v>m_ofs_trex_ar_invoices</v>
      </c>
      <c r="B99" s="1" t="s">
        <v>102</v>
      </c>
      <c r="C99" s="1" t="s">
        <v>372</v>
      </c>
      <c r="D99" s="1" t="s">
        <v>52</v>
      </c>
      <c r="E99" s="1" t="s">
        <v>845</v>
      </c>
      <c r="F99" s="1" t="s">
        <v>124</v>
      </c>
      <c r="G99" s="1" t="s">
        <v>7</v>
      </c>
      <c r="H99" s="10" t="str">
        <f>CONCATENATE(Connectors[[#This Row],[FROMINSTANCE]],"::",Connectors[[#This Row],[FROMFIELD]],"::",Connectors[[#This Row],[FROMINSTANCETYPE]])</f>
        <v>RA_CUSTOMER_TRX_ALL::TRX_NUMBER::Source Definition</v>
      </c>
      <c r="I99" s="10" t="str">
        <f>CONCATENATE(Connectors[[#This Row],[TOINSTANCE]],"::",Connectors[[#This Row],[TOFIELD]],"::",Connectors[[#This Row],[TOINSTANCETYPE]])</f>
        <v>SQ_ofs_ar_invoices::invoice_number::Source Qualifier</v>
      </c>
    </row>
    <row r="100" spans="1:9" x14ac:dyDescent="0.25">
      <c r="A100" s="25" t="str">
        <f xml:space="preserve"> MapNameLkup</f>
        <v>m_ofs_trex_ar_invoices</v>
      </c>
      <c r="B100" s="1" t="s">
        <v>102</v>
      </c>
      <c r="C100" s="1" t="s">
        <v>372</v>
      </c>
      <c r="D100" s="1" t="s">
        <v>52</v>
      </c>
      <c r="E100" s="1" t="s">
        <v>845</v>
      </c>
      <c r="F100" s="1" t="s">
        <v>125</v>
      </c>
      <c r="G100" s="1" t="s">
        <v>7</v>
      </c>
      <c r="H100" s="10" t="str">
        <f>CONCATENATE(Connectors[[#This Row],[FROMINSTANCE]],"::",Connectors[[#This Row],[FROMFIELD]],"::",Connectors[[#This Row],[FROMINSTANCETYPE]])</f>
        <v>RA_CUSTOMER_TRX_ALL::TRX_NUMBER::Source Definition</v>
      </c>
      <c r="I100" s="10" t="str">
        <f>CONCATENATE(Connectors[[#This Row],[TOINSTANCE]],"::",Connectors[[#This Row],[TOFIELD]],"::",Connectors[[#This Row],[TOINSTANCETYPE]])</f>
        <v>SQ_ofs_ar_invoices::kme_ar_inv_no::Source Qualifier</v>
      </c>
    </row>
    <row r="101" spans="1:9" x14ac:dyDescent="0.25">
      <c r="A101" s="25" t="str">
        <f xml:space="preserve"> MapNameLkup</f>
        <v>m_ofs_trex_ar_invoices</v>
      </c>
      <c r="B101" s="1" t="s">
        <v>102</v>
      </c>
      <c r="C101" s="1" t="s">
        <v>372</v>
      </c>
      <c r="D101" s="1" t="s">
        <v>52</v>
      </c>
      <c r="E101" s="1" t="s">
        <v>845</v>
      </c>
      <c r="F101" s="1" t="s">
        <v>126</v>
      </c>
      <c r="G101" s="1" t="s">
        <v>7</v>
      </c>
      <c r="H101" s="10" t="str">
        <f>CONCATENATE(Connectors[[#This Row],[FROMINSTANCE]],"::",Connectors[[#This Row],[FROMFIELD]],"::",Connectors[[#This Row],[FROMINSTANCETYPE]])</f>
        <v>RA_CUSTOMER_TRX_ALL::TRX_NUMBER::Source Definition</v>
      </c>
      <c r="I101" s="10" t="str">
        <f>CONCATENATE(Connectors[[#This Row],[TOINSTANCE]],"::",Connectors[[#This Row],[TOFIELD]],"::",Connectors[[#This Row],[TOINSTANCETYPE]])</f>
        <v>SQ_ofs_ar_invoices::kme_ar_inv_amd_no::Source Qualifier</v>
      </c>
    </row>
    <row r="102" spans="1:9" x14ac:dyDescent="0.25">
      <c r="A102" s="25" t="str">
        <f xml:space="preserve"> MapNameLkup</f>
        <v>m_ofs_trex_ar_invoices</v>
      </c>
      <c r="B102" s="1" t="s">
        <v>102</v>
      </c>
      <c r="C102" s="1" t="s">
        <v>673</v>
      </c>
      <c r="D102" s="1" t="s">
        <v>52</v>
      </c>
      <c r="E102" s="1" t="s">
        <v>845</v>
      </c>
      <c r="F102" s="1" t="s">
        <v>115</v>
      </c>
      <c r="G102" s="1" t="s">
        <v>7</v>
      </c>
      <c r="H102" s="10" t="str">
        <f>CONCATENATE(Connectors[[#This Row],[FROMINSTANCE]],"::",Connectors[[#This Row],[FROMFIELD]],"::",Connectors[[#This Row],[FROMINSTANCETYPE]])</f>
        <v>RA_CUSTOMER_TRX_ALL::INTERFACE_HEADER_ATTRIBUTE5::Source Definition</v>
      </c>
      <c r="I102" s="10" t="str">
        <f>CONCATENATE(Connectors[[#This Row],[TOINSTANCE]],"::",Connectors[[#This Row],[TOFIELD]],"::",Connectors[[#This Row],[TOINSTANCETYPE]])</f>
        <v>SQ_ofs_ar_invoices::batch_id::Source Qualifier</v>
      </c>
    </row>
    <row r="103" spans="1:9" x14ac:dyDescent="0.25">
      <c r="A103" s="25" t="str">
        <f xml:space="preserve"> MapNameLkup</f>
        <v>m_ofs_trex_ar_invoices</v>
      </c>
      <c r="B103" s="1" t="s">
        <v>101</v>
      </c>
      <c r="C103" s="1" t="s">
        <v>538</v>
      </c>
      <c r="D103" s="1" t="s">
        <v>52</v>
      </c>
      <c r="E103" s="1" t="s">
        <v>845</v>
      </c>
      <c r="F103" s="1" t="s">
        <v>129</v>
      </c>
      <c r="G103" s="1" t="s">
        <v>7</v>
      </c>
      <c r="H103" s="10" t="str">
        <f>CONCATENATE(Connectors[[#This Row],[FROMINSTANCE]],"::",Connectors[[#This Row],[FROMFIELD]],"::",Connectors[[#This Row],[FROMINSTANCETYPE]])</f>
        <v>GL_CODE_COMBINATIONS::SEGMENT5::Source Definition</v>
      </c>
      <c r="I103" s="10" t="str">
        <f>CONCATENATE(Connectors[[#This Row],[TOINSTANCE]],"::",Connectors[[#This Row],[TOFIELD]],"::",Connectors[[#This Row],[TOINSTANCETYPE]])</f>
        <v>SQ_ofs_ar_invoices::offset_nat_acct_no::Source Qualifier</v>
      </c>
    </row>
    <row r="104" spans="1:9" x14ac:dyDescent="0.25">
      <c r="A104" s="25" t="str">
        <f xml:space="preserve"> MapNameLkup</f>
        <v>m_ofs_trex_ar_invoices</v>
      </c>
      <c r="B104" s="1" t="s">
        <v>92</v>
      </c>
      <c r="C104" s="1" t="s">
        <v>3</v>
      </c>
      <c r="D104" s="1" t="s">
        <v>52</v>
      </c>
      <c r="E104" s="1" t="s">
        <v>845</v>
      </c>
      <c r="F104" s="1" t="s">
        <v>116</v>
      </c>
      <c r="G104" s="1" t="s">
        <v>7</v>
      </c>
      <c r="H104" s="10" t="str">
        <f>CONCATENATE(Connectors[[#This Row],[FROMINSTANCE]],"::",Connectors[[#This Row],[FROMFIELD]],"::",Connectors[[#This Row],[FROMINSTANCETYPE]])</f>
        <v>RA_BATCH_SOURCES_ALL::NAME::Source Definition</v>
      </c>
      <c r="I104" s="10" t="str">
        <f>CONCATENATE(Connectors[[#This Row],[TOINSTANCE]],"::",Connectors[[#This Row],[TOFIELD]],"::",Connectors[[#This Row],[TOINSTANCETYPE]])</f>
        <v>SQ_ofs_ar_invoices::batch_name::Source Qualifier</v>
      </c>
    </row>
    <row r="105" spans="1:9" x14ac:dyDescent="0.25">
      <c r="A105" s="25" t="str">
        <f xml:space="preserve"> MapNameLkup</f>
        <v>m_ofs_trex_ar_invoices</v>
      </c>
      <c r="B105" s="1" t="s">
        <v>102</v>
      </c>
      <c r="C105" s="1" t="s">
        <v>159</v>
      </c>
      <c r="D105" s="1" t="s">
        <v>52</v>
      </c>
      <c r="E105" s="1" t="s">
        <v>845</v>
      </c>
      <c r="F105" s="1" t="s">
        <v>117</v>
      </c>
      <c r="G105" s="1" t="s">
        <v>7</v>
      </c>
      <c r="H105" s="10" t="str">
        <f>CONCATENATE(Connectors[[#This Row],[FROMINSTANCE]],"::",Connectors[[#This Row],[FROMFIELD]],"::",Connectors[[#This Row],[FROMINSTANCETYPE]])</f>
        <v>RA_CUSTOMER_TRX_ALL::ORG_ID::Source Definition</v>
      </c>
      <c r="I105" s="10" t="str">
        <f>CONCATENATE(Connectors[[#This Row],[TOINSTANCE]],"::",Connectors[[#This Row],[TOFIELD]],"::",Connectors[[#This Row],[TOINSTANCETYPE]])</f>
        <v>SQ_ofs_ar_invoices::org_id::Source Qualifier</v>
      </c>
    </row>
    <row r="106" spans="1:9" x14ac:dyDescent="0.25">
      <c r="A106" s="25" t="str">
        <f xml:space="preserve"> MapNameLkup</f>
        <v>m_ofs_trex_ar_invoices</v>
      </c>
      <c r="B106" s="1" t="s">
        <v>92</v>
      </c>
      <c r="C106" s="1" t="s">
        <v>153</v>
      </c>
      <c r="D106" s="1" t="s">
        <v>52</v>
      </c>
      <c r="E106" s="1" t="s">
        <v>845</v>
      </c>
      <c r="F106" s="1" t="s">
        <v>118</v>
      </c>
      <c r="G106" s="1" t="s">
        <v>7</v>
      </c>
      <c r="H106" s="10" t="str">
        <f>CONCATENATE(Connectors[[#This Row],[FROMINSTANCE]],"::",Connectors[[#This Row],[FROMFIELD]],"::",Connectors[[#This Row],[FROMINSTANCETYPE]])</f>
        <v>RA_BATCH_SOURCES_ALL::BATCH_SOURCE_ID::Source Definition</v>
      </c>
      <c r="I106" s="10" t="str">
        <f>CONCATENATE(Connectors[[#This Row],[TOINSTANCE]],"::",Connectors[[#This Row],[TOFIELD]],"::",Connectors[[#This Row],[TOINSTANCETYPE]])</f>
        <v>SQ_ofs_ar_invoices::batch_source_id::Source Qualifier</v>
      </c>
    </row>
    <row r="107" spans="1:9" x14ac:dyDescent="0.25">
      <c r="A107" s="25" t="str">
        <f xml:space="preserve"> MapNameLkup</f>
        <v>m_ofs_trex_ar_invoices</v>
      </c>
      <c r="B107" s="1" t="s">
        <v>101</v>
      </c>
      <c r="C107" s="1" t="s">
        <v>534</v>
      </c>
      <c r="D107" s="1" t="s">
        <v>52</v>
      </c>
      <c r="E107" s="1" t="s">
        <v>845</v>
      </c>
      <c r="F107" s="1" t="s">
        <v>119</v>
      </c>
      <c r="G107" s="1" t="s">
        <v>7</v>
      </c>
      <c r="H107" s="10" t="str">
        <f>CONCATENATE(Connectors[[#This Row],[FROMINSTANCE]],"::",Connectors[[#This Row],[FROMFIELD]],"::",Connectors[[#This Row],[FROMINSTANCETYPE]])</f>
        <v>GL_CODE_COMBINATIONS::SEGMENT1::Source Definition</v>
      </c>
      <c r="I107" s="10" t="str">
        <f>CONCATENATE(Connectors[[#This Row],[TOINSTANCE]],"::",Connectors[[#This Row],[TOFIELD]],"::",Connectors[[#This Row],[TOINSTANCETYPE]])</f>
        <v>SQ_ofs_ar_invoices::company::Source Qualifier</v>
      </c>
    </row>
    <row r="108" spans="1:9" x14ac:dyDescent="0.25">
      <c r="A108" s="25" t="str">
        <f xml:space="preserve"> MapNameLkup</f>
        <v>m_ofs_trex_ar_invoices</v>
      </c>
      <c r="B108" s="1" t="s">
        <v>94</v>
      </c>
      <c r="C108" s="1" t="s">
        <v>165</v>
      </c>
      <c r="D108" s="1" t="s">
        <v>52</v>
      </c>
      <c r="E108" s="1" t="s">
        <v>845</v>
      </c>
      <c r="F108" s="1" t="s">
        <v>120</v>
      </c>
      <c r="G108" s="1" t="s">
        <v>7</v>
      </c>
      <c r="H108" s="10" t="str">
        <f>CONCATENATE(Connectors[[#This Row],[FROMINSTANCE]],"::",Connectors[[#This Row],[FROMFIELD]],"::",Connectors[[#This Row],[FROMINSTANCETYPE]])</f>
        <v>FND_FLEX_VALUES::ATTRIBUTE2::Source Definition</v>
      </c>
      <c r="I108" s="10" t="str">
        <f>CONCATENATE(Connectors[[#This Row],[TOINSTANCE]],"::",Connectors[[#This Row],[TOFIELD]],"::",Connectors[[#This Row],[TOINSTANCETYPE]])</f>
        <v>SQ_ofs_ar_invoices::company_description::Source Qualifier</v>
      </c>
    </row>
    <row r="109" spans="1:9" x14ac:dyDescent="0.25">
      <c r="A109" s="25" t="str">
        <f xml:space="preserve"> MapNameLkup</f>
        <v>m_ofs_trex_ar_invoices</v>
      </c>
      <c r="B109" s="1" t="s">
        <v>102</v>
      </c>
      <c r="C109" s="1" t="s">
        <v>671</v>
      </c>
      <c r="D109" s="1" t="s">
        <v>52</v>
      </c>
      <c r="E109" s="1" t="s">
        <v>845</v>
      </c>
      <c r="F109" s="1" t="s">
        <v>121</v>
      </c>
      <c r="G109" s="1" t="s">
        <v>7</v>
      </c>
      <c r="H109" s="10" t="str">
        <f>CONCATENATE(Connectors[[#This Row],[FROMINSTANCE]],"::",Connectors[[#This Row],[FROMFIELD]],"::",Connectors[[#This Row],[FROMINSTANCETYPE]])</f>
        <v>RA_CUSTOMER_TRX_ALL::INTERFACE_HEADER_ATTRIBUTE3::Source Definition</v>
      </c>
      <c r="I109" s="10" t="str">
        <f>CONCATENATE(Connectors[[#This Row],[TOINSTANCE]],"::",Connectors[[#This Row],[TOFIELD]],"::",Connectors[[#This Row],[TOINSTANCETYPE]])</f>
        <v>SQ_ofs_ar_invoices::account_number::Source Qualifier</v>
      </c>
    </row>
    <row r="110" spans="1:9" x14ac:dyDescent="0.25">
      <c r="A110" s="25" t="str">
        <f xml:space="preserve"> MapNameLkup</f>
        <v>m_ofs_trex_ar_invoices</v>
      </c>
      <c r="B110" s="1" t="s">
        <v>102</v>
      </c>
      <c r="C110" s="1" t="s">
        <v>373</v>
      </c>
      <c r="D110" s="1" t="s">
        <v>52</v>
      </c>
      <c r="E110" s="1" t="s">
        <v>845</v>
      </c>
      <c r="F110" s="1" t="s">
        <v>127</v>
      </c>
      <c r="G110" s="1" t="s">
        <v>7</v>
      </c>
      <c r="H110" s="10" t="str">
        <f>CONCATENATE(Connectors[[#This Row],[FROMINSTANCE]],"::",Connectors[[#This Row],[FROMFIELD]],"::",Connectors[[#This Row],[FROMINSTANCETYPE]])</f>
        <v>RA_CUSTOMER_TRX_ALL::TRX_DATE::Source Definition</v>
      </c>
      <c r="I110" s="10" t="str">
        <f>CONCATENATE(Connectors[[#This Row],[TOINSTANCE]],"::",Connectors[[#This Row],[TOFIELD]],"::",Connectors[[#This Row],[TOINSTANCETYPE]])</f>
        <v>SQ_ofs_ar_invoices::invoice_date::Source Qualifier</v>
      </c>
    </row>
    <row r="111" spans="1:9" x14ac:dyDescent="0.25">
      <c r="A111" s="25" t="str">
        <f xml:space="preserve"> MapNameLkup</f>
        <v>m_ofs_trex_ar_invoices</v>
      </c>
      <c r="B111" s="1" t="s">
        <v>98</v>
      </c>
      <c r="C111" s="1" t="s">
        <v>3</v>
      </c>
      <c r="D111" s="1" t="s">
        <v>52</v>
      </c>
      <c r="E111" s="1" t="s">
        <v>845</v>
      </c>
      <c r="F111" s="1" t="s">
        <v>130</v>
      </c>
      <c r="G111" s="1" t="s">
        <v>7</v>
      </c>
      <c r="H111" s="10" t="str">
        <f>CONCATENATE(Connectors[[#This Row],[FROMINSTANCE]],"::",Connectors[[#This Row],[FROMFIELD]],"::",Connectors[[#This Row],[FROMINSTANCETYPE]])</f>
        <v>RA_CUST_TRX_TYPES_ALL::NAME::Source Definition</v>
      </c>
      <c r="I111" s="10" t="str">
        <f>CONCATENATE(Connectors[[#This Row],[TOINSTANCE]],"::",Connectors[[#This Row],[TOFIELD]],"::",Connectors[[#This Row],[TOINSTANCETYPE]])</f>
        <v>SQ_ofs_ar_invoices::transaction_type::Source Qualifier</v>
      </c>
    </row>
    <row r="112" spans="1:9" x14ac:dyDescent="0.25">
      <c r="A112" s="25" t="str">
        <f xml:space="preserve"> MapNameLkup</f>
        <v>m_ofs_trex_ar_invoices</v>
      </c>
      <c r="B112" s="1" t="s">
        <v>845</v>
      </c>
      <c r="C112" s="1" t="s">
        <v>129</v>
      </c>
      <c r="D112" s="1" t="s">
        <v>7</v>
      </c>
      <c r="E112" s="1" t="s">
        <v>859</v>
      </c>
      <c r="F112" s="1" t="s">
        <v>129</v>
      </c>
      <c r="G112" s="1" t="s">
        <v>6</v>
      </c>
      <c r="H112" s="10" t="str">
        <f>CONCATENATE(Connectors[[#This Row],[FROMINSTANCE]],"::",Connectors[[#This Row],[FROMFIELD]],"::",Connectors[[#This Row],[FROMINSTANCETYPE]])</f>
        <v>SQ_ofs_ar_invoices::offset_nat_acct_no::Source Qualifier</v>
      </c>
      <c r="I112" s="10" t="str">
        <f>CONCATENATE(Connectors[[#This Row],[TOINSTANCE]],"::",Connectors[[#This Row],[TOFIELD]],"::",Connectors[[#This Row],[TOINSTANCETYPE]])</f>
        <v>EXP_ofs_ar_invoices::offset_nat_acct_no::Expression</v>
      </c>
    </row>
    <row r="113" spans="1:9" x14ac:dyDescent="0.25">
      <c r="A113" s="25" t="str">
        <f xml:space="preserve"> MapNameLkup</f>
        <v>m_ofs_trex_ar_invoices</v>
      </c>
      <c r="B113" s="1" t="s">
        <v>845</v>
      </c>
      <c r="C113" s="1" t="s">
        <v>115</v>
      </c>
      <c r="D113" s="1" t="s">
        <v>7</v>
      </c>
      <c r="E113" s="1" t="s">
        <v>859</v>
      </c>
      <c r="F113" s="1" t="s">
        <v>115</v>
      </c>
      <c r="G113" s="1" t="s">
        <v>6</v>
      </c>
      <c r="H113" s="10" t="str">
        <f>CONCATENATE(Connectors[[#This Row],[FROMINSTANCE]],"::",Connectors[[#This Row],[FROMFIELD]],"::",Connectors[[#This Row],[FROMINSTANCETYPE]])</f>
        <v>SQ_ofs_ar_invoices::batch_id::Source Qualifier</v>
      </c>
      <c r="I113" s="10" t="str">
        <f>CONCATENATE(Connectors[[#This Row],[TOINSTANCE]],"::",Connectors[[#This Row],[TOFIELD]],"::",Connectors[[#This Row],[TOINSTANCETYPE]])</f>
        <v>EXP_ofs_ar_invoices::batch_id::Expression</v>
      </c>
    </row>
    <row r="114" spans="1:9" x14ac:dyDescent="0.25">
      <c r="A114" s="25" t="str">
        <f xml:space="preserve"> MapNameLkup</f>
        <v>m_ofs_trex_ar_invoices</v>
      </c>
      <c r="B114" s="1" t="s">
        <v>845</v>
      </c>
      <c r="C114" s="1" t="s">
        <v>116</v>
      </c>
      <c r="D114" s="1" t="s">
        <v>7</v>
      </c>
      <c r="E114" s="1" t="s">
        <v>859</v>
      </c>
      <c r="F114" s="1" t="s">
        <v>116</v>
      </c>
      <c r="G114" s="1" t="s">
        <v>6</v>
      </c>
      <c r="H114" s="10" t="str">
        <f>CONCATENATE(Connectors[[#This Row],[FROMINSTANCE]],"::",Connectors[[#This Row],[FROMFIELD]],"::",Connectors[[#This Row],[FROMINSTANCETYPE]])</f>
        <v>SQ_ofs_ar_invoices::batch_name::Source Qualifier</v>
      </c>
      <c r="I114" s="10" t="str">
        <f>CONCATENATE(Connectors[[#This Row],[TOINSTANCE]],"::",Connectors[[#This Row],[TOFIELD]],"::",Connectors[[#This Row],[TOINSTANCETYPE]])</f>
        <v>EXP_ofs_ar_invoices::batch_name::Expression</v>
      </c>
    </row>
    <row r="115" spans="1:9" x14ac:dyDescent="0.25">
      <c r="A115" s="25" t="str">
        <f xml:space="preserve"> MapNameLkup</f>
        <v>m_ofs_trex_ar_invoices</v>
      </c>
      <c r="B115" s="1" t="s">
        <v>845</v>
      </c>
      <c r="C115" s="1" t="s">
        <v>117</v>
      </c>
      <c r="D115" s="1" t="s">
        <v>7</v>
      </c>
      <c r="E115" s="1" t="s">
        <v>859</v>
      </c>
      <c r="F115" s="1" t="s">
        <v>117</v>
      </c>
      <c r="G115" s="1" t="s">
        <v>6</v>
      </c>
      <c r="H115" s="10" t="str">
        <f>CONCATENATE(Connectors[[#This Row],[FROMINSTANCE]],"::",Connectors[[#This Row],[FROMFIELD]],"::",Connectors[[#This Row],[FROMINSTANCETYPE]])</f>
        <v>SQ_ofs_ar_invoices::org_id::Source Qualifier</v>
      </c>
      <c r="I115" s="10" t="str">
        <f>CONCATENATE(Connectors[[#This Row],[TOINSTANCE]],"::",Connectors[[#This Row],[TOFIELD]],"::",Connectors[[#This Row],[TOINSTANCETYPE]])</f>
        <v>EXP_ofs_ar_invoices::org_id::Expression</v>
      </c>
    </row>
    <row r="116" spans="1:9" x14ac:dyDescent="0.25">
      <c r="A116" s="25" t="str">
        <f xml:space="preserve"> MapNameLkup</f>
        <v>m_ofs_trex_ar_invoices</v>
      </c>
      <c r="B116" s="1" t="s">
        <v>845</v>
      </c>
      <c r="C116" s="1" t="s">
        <v>118</v>
      </c>
      <c r="D116" s="1" t="s">
        <v>7</v>
      </c>
      <c r="E116" s="1" t="s">
        <v>859</v>
      </c>
      <c r="F116" s="1" t="s">
        <v>118</v>
      </c>
      <c r="G116" s="1" t="s">
        <v>6</v>
      </c>
      <c r="H116" s="10" t="str">
        <f>CONCATENATE(Connectors[[#This Row],[FROMINSTANCE]],"::",Connectors[[#This Row],[FROMFIELD]],"::",Connectors[[#This Row],[FROMINSTANCETYPE]])</f>
        <v>SQ_ofs_ar_invoices::batch_source_id::Source Qualifier</v>
      </c>
      <c r="I116" s="10" t="str">
        <f>CONCATENATE(Connectors[[#This Row],[TOINSTANCE]],"::",Connectors[[#This Row],[TOFIELD]],"::",Connectors[[#This Row],[TOINSTANCETYPE]])</f>
        <v>EXP_ofs_ar_invoices::batch_source_id::Expression</v>
      </c>
    </row>
    <row r="117" spans="1:9" x14ac:dyDescent="0.25">
      <c r="A117" s="25" t="str">
        <f xml:space="preserve"> MapNameLkup</f>
        <v>m_ofs_trex_ar_invoices</v>
      </c>
      <c r="B117" s="1" t="s">
        <v>845</v>
      </c>
      <c r="C117" s="1" t="s">
        <v>126</v>
      </c>
      <c r="D117" s="1" t="s">
        <v>7</v>
      </c>
      <c r="E117" s="1" t="s">
        <v>859</v>
      </c>
      <c r="F117" s="1" t="s">
        <v>126</v>
      </c>
      <c r="G117" s="1" t="s">
        <v>6</v>
      </c>
      <c r="H117" s="10" t="str">
        <f>CONCATENATE(Connectors[[#This Row],[FROMINSTANCE]],"::",Connectors[[#This Row],[FROMFIELD]],"::",Connectors[[#This Row],[FROMINSTANCETYPE]])</f>
        <v>SQ_ofs_ar_invoices::kme_ar_inv_amd_no::Source Qualifier</v>
      </c>
      <c r="I117" s="10" t="str">
        <f>CONCATENATE(Connectors[[#This Row],[TOINSTANCE]],"::",Connectors[[#This Row],[TOFIELD]],"::",Connectors[[#This Row],[TOINSTANCETYPE]])</f>
        <v>EXP_ofs_ar_invoices::kme_ar_inv_amd_no::Expression</v>
      </c>
    </row>
    <row r="118" spans="1:9" x14ac:dyDescent="0.25">
      <c r="A118" s="25" t="str">
        <f xml:space="preserve"> MapNameLkup</f>
        <v>m_ofs_trex_ar_invoices</v>
      </c>
      <c r="B118" s="1" t="s">
        <v>845</v>
      </c>
      <c r="C118" s="1" t="s">
        <v>127</v>
      </c>
      <c r="D118" s="1" t="s">
        <v>7</v>
      </c>
      <c r="E118" s="1" t="s">
        <v>859</v>
      </c>
      <c r="F118" s="1" t="s">
        <v>127</v>
      </c>
      <c r="G118" s="1" t="s">
        <v>6</v>
      </c>
      <c r="H118" s="10" t="str">
        <f>CONCATENATE(Connectors[[#This Row],[FROMINSTANCE]],"::",Connectors[[#This Row],[FROMFIELD]],"::",Connectors[[#This Row],[FROMINSTANCETYPE]])</f>
        <v>SQ_ofs_ar_invoices::invoice_date::Source Qualifier</v>
      </c>
      <c r="I118" s="10" t="str">
        <f>CONCATENATE(Connectors[[#This Row],[TOINSTANCE]],"::",Connectors[[#This Row],[TOFIELD]],"::",Connectors[[#This Row],[TOINSTANCETYPE]])</f>
        <v>EXP_ofs_ar_invoices::invoice_date::Expression</v>
      </c>
    </row>
    <row r="119" spans="1:9" x14ac:dyDescent="0.25">
      <c r="A119" s="25" t="str">
        <f xml:space="preserve"> MapNameLkup</f>
        <v>m_ofs_trex_ar_invoices</v>
      </c>
      <c r="B119" s="1" t="s">
        <v>845</v>
      </c>
      <c r="C119" s="1" t="s">
        <v>130</v>
      </c>
      <c r="D119" s="1" t="s">
        <v>7</v>
      </c>
      <c r="E119" s="1" t="s">
        <v>859</v>
      </c>
      <c r="F119" s="1" t="s">
        <v>130</v>
      </c>
      <c r="G119" s="1" t="s">
        <v>6</v>
      </c>
      <c r="H119" s="10" t="str">
        <f>CONCATENATE(Connectors[[#This Row],[FROMINSTANCE]],"::",Connectors[[#This Row],[FROMFIELD]],"::",Connectors[[#This Row],[FROMINSTANCETYPE]])</f>
        <v>SQ_ofs_ar_invoices::transaction_type::Source Qualifier</v>
      </c>
      <c r="I119" s="10" t="str">
        <f>CONCATENATE(Connectors[[#This Row],[TOINSTANCE]],"::",Connectors[[#This Row],[TOFIELD]],"::",Connectors[[#This Row],[TOINSTANCETYPE]])</f>
        <v>EXP_ofs_ar_invoices::transaction_type::Expression</v>
      </c>
    </row>
    <row r="120" spans="1:9" x14ac:dyDescent="0.25">
      <c r="A120" s="25" t="str">
        <f xml:space="preserve"> MapNameLkup</f>
        <v>m_ofs_trex_ar_invoices</v>
      </c>
      <c r="B120" s="1" t="s">
        <v>845</v>
      </c>
      <c r="C120" s="1" t="s">
        <v>144</v>
      </c>
      <c r="D120" s="1" t="s">
        <v>7</v>
      </c>
      <c r="E120" s="1" t="s">
        <v>859</v>
      </c>
      <c r="F120" s="1" t="s">
        <v>144</v>
      </c>
      <c r="G120" s="1" t="s">
        <v>6</v>
      </c>
      <c r="H120" s="10" t="str">
        <f>CONCATENATE(Connectors[[#This Row],[FROMINSTANCE]],"::",Connectors[[#This Row],[FROMFIELD]],"::",Connectors[[#This Row],[FROMINSTANCETYPE]])</f>
        <v>SQ_ofs_ar_invoices::invoice_gl_posted_date::Source Qualifier</v>
      </c>
      <c r="I120" s="10" t="str">
        <f>CONCATENATE(Connectors[[#This Row],[TOINSTANCE]],"::",Connectors[[#This Row],[TOFIELD]],"::",Connectors[[#This Row],[TOINSTANCETYPE]])</f>
        <v>EXP_ofs_ar_invoices::invoice_gl_posted_date::Expression</v>
      </c>
    </row>
    <row r="121" spans="1:9" x14ac:dyDescent="0.25">
      <c r="A121" s="25" t="str">
        <f xml:space="preserve"> MapNameLkup</f>
        <v>m_ofs_trex_ar_invoices</v>
      </c>
      <c r="B121" s="1" t="s">
        <v>845</v>
      </c>
      <c r="C121" s="1" t="s">
        <v>145</v>
      </c>
      <c r="D121" s="1" t="s">
        <v>7</v>
      </c>
      <c r="E121" s="1" t="s">
        <v>859</v>
      </c>
      <c r="F121" s="1" t="s">
        <v>145</v>
      </c>
      <c r="G121" s="1" t="s">
        <v>6</v>
      </c>
      <c r="H121" s="10" t="str">
        <f>CONCATENATE(Connectors[[#This Row],[FROMINSTANCE]],"::",Connectors[[#This Row],[FROMFIELD]],"::",Connectors[[#This Row],[FROMINSTANCETYPE]])</f>
        <v>SQ_ofs_ar_invoices::invoice_gl_date::Source Qualifier</v>
      </c>
      <c r="I121" s="10" t="str">
        <f>CONCATENATE(Connectors[[#This Row],[TOINSTANCE]],"::",Connectors[[#This Row],[TOFIELD]],"::",Connectors[[#This Row],[TOINSTANCETYPE]])</f>
        <v>EXP_ofs_ar_invoices::invoice_gl_date::Expression</v>
      </c>
    </row>
    <row r="122" spans="1:9" x14ac:dyDescent="0.25">
      <c r="A122" s="25" t="str">
        <f xml:space="preserve"> MapNameLkup</f>
        <v>m_ofs_trex_ar_invoices</v>
      </c>
      <c r="B122" s="1" t="s">
        <v>845</v>
      </c>
      <c r="C122" s="1" t="s">
        <v>131</v>
      </c>
      <c r="D122" s="1" t="s">
        <v>7</v>
      </c>
      <c r="E122" s="1" t="s">
        <v>859</v>
      </c>
      <c r="F122" s="1" t="s">
        <v>131</v>
      </c>
      <c r="G122" s="1" t="s">
        <v>6</v>
      </c>
      <c r="H122" s="10" t="str">
        <f>CONCATENATE(Connectors[[#This Row],[FROMINSTANCE]],"::",Connectors[[#This Row],[FROMFIELD]],"::",Connectors[[#This Row],[FROMINSTANCETYPE]])</f>
        <v>SQ_ofs_ar_invoices::acctd_amount::Source Qualifier</v>
      </c>
      <c r="I122" s="10" t="str">
        <f>CONCATENATE(Connectors[[#This Row],[TOINSTANCE]],"::",Connectors[[#This Row],[TOFIELD]],"::",Connectors[[#This Row],[TOINSTANCETYPE]])</f>
        <v>EXP_ofs_ar_invoices::acctd_amount::Expression</v>
      </c>
    </row>
    <row r="123" spans="1:9" x14ac:dyDescent="0.25">
      <c r="A123" s="25" t="str">
        <f xml:space="preserve"> MapNameLkup</f>
        <v>m_ofs_trex_ar_invoices</v>
      </c>
      <c r="B123" s="1" t="s">
        <v>845</v>
      </c>
      <c r="C123" s="1" t="s">
        <v>134</v>
      </c>
      <c r="D123" s="1" t="s">
        <v>7</v>
      </c>
      <c r="E123" s="1" t="s">
        <v>859</v>
      </c>
      <c r="F123" s="1" t="s">
        <v>134</v>
      </c>
      <c r="G123" s="1" t="s">
        <v>6</v>
      </c>
      <c r="H123" s="10" t="str">
        <f>CONCATENATE(Connectors[[#This Row],[FROMINSTANCE]],"::",Connectors[[#This Row],[FROMFIELD]],"::",Connectors[[#This Row],[FROMINSTANCETYPE]])</f>
        <v>SQ_ofs_ar_invoices::amount_applied::Source Qualifier</v>
      </c>
      <c r="I123" s="10" t="str">
        <f>CONCATENATE(Connectors[[#This Row],[TOINSTANCE]],"::",Connectors[[#This Row],[TOFIELD]],"::",Connectors[[#This Row],[TOINSTANCETYPE]])</f>
        <v>EXP_ofs_ar_invoices::amount_applied::Expression</v>
      </c>
    </row>
    <row r="124" spans="1:9" x14ac:dyDescent="0.25">
      <c r="A124" s="25" t="str">
        <f xml:space="preserve"> MapNameLkup</f>
        <v>m_ofs_trex_ar_invoices</v>
      </c>
      <c r="B124" s="1" t="s">
        <v>845</v>
      </c>
      <c r="C124" s="1" t="s">
        <v>136</v>
      </c>
      <c r="D124" s="1" t="s">
        <v>7</v>
      </c>
      <c r="E124" s="1" t="s">
        <v>859</v>
      </c>
      <c r="F124" s="1" t="s">
        <v>136</v>
      </c>
      <c r="G124" s="1" t="s">
        <v>6</v>
      </c>
      <c r="H124" s="10" t="str">
        <f>CONCATENATE(Connectors[[#This Row],[FROMINSTANCE]],"::",Connectors[[#This Row],[FROMFIELD]],"::",Connectors[[#This Row],[FROMINSTANCETYPE]])</f>
        <v>SQ_ofs_ar_invoices::amount_due_remaining::Source Qualifier</v>
      </c>
      <c r="I124" s="10" t="str">
        <f>CONCATENATE(Connectors[[#This Row],[TOINSTANCE]],"::",Connectors[[#This Row],[TOFIELD]],"::",Connectors[[#This Row],[TOINSTANCETYPE]])</f>
        <v>EXP_ofs_ar_invoices::amount_due_remaining::Expression</v>
      </c>
    </row>
    <row r="125" spans="1:9" x14ac:dyDescent="0.25">
      <c r="A125" s="25" t="str">
        <f xml:space="preserve"> MapNameLkup</f>
        <v>m_ofs_trex_ar_invoices</v>
      </c>
      <c r="B125" s="1" t="s">
        <v>845</v>
      </c>
      <c r="C125" s="1" t="s">
        <v>137</v>
      </c>
      <c r="D125" s="1" t="s">
        <v>7</v>
      </c>
      <c r="E125" s="1" t="s">
        <v>859</v>
      </c>
      <c r="F125" s="1" t="s">
        <v>137</v>
      </c>
      <c r="G125" s="1" t="s">
        <v>6</v>
      </c>
      <c r="H125" s="10" t="str">
        <f>CONCATENATE(Connectors[[#This Row],[FROMINSTANCE]],"::",Connectors[[#This Row],[FROMFIELD]],"::",Connectors[[#This Row],[FROMINSTANCETYPE]])</f>
        <v>SQ_ofs_ar_invoices::currency_code::Source Qualifier</v>
      </c>
      <c r="I125" s="10" t="str">
        <f>CONCATENATE(Connectors[[#This Row],[TOINSTANCE]],"::",Connectors[[#This Row],[TOFIELD]],"::",Connectors[[#This Row],[TOINSTANCETYPE]])</f>
        <v>EXP_ofs_ar_invoices::currency_code::Expression</v>
      </c>
    </row>
    <row r="126" spans="1:9" x14ac:dyDescent="0.25">
      <c r="A126" s="25" t="str">
        <f xml:space="preserve"> MapNameLkup</f>
        <v>m_ofs_trex_ar_invoices</v>
      </c>
      <c r="B126" s="1" t="s">
        <v>845</v>
      </c>
      <c r="C126" s="1" t="s">
        <v>138</v>
      </c>
      <c r="D126" s="1" t="s">
        <v>7</v>
      </c>
      <c r="E126" s="1" t="s">
        <v>859</v>
      </c>
      <c r="F126" s="1" t="s">
        <v>138</v>
      </c>
      <c r="G126" s="1" t="s">
        <v>6</v>
      </c>
      <c r="H126" s="10" t="str">
        <f>CONCATENATE(Connectors[[#This Row],[FROMINSTANCE]],"::",Connectors[[#This Row],[FROMFIELD]],"::",Connectors[[#This Row],[FROMINSTANCETYPE]])</f>
        <v>SQ_ofs_ar_invoices::payment_terms::Source Qualifier</v>
      </c>
      <c r="I126" s="10" t="str">
        <f>CONCATENATE(Connectors[[#This Row],[TOINSTANCE]],"::",Connectors[[#This Row],[TOFIELD]],"::",Connectors[[#This Row],[TOINSTANCETYPE]])</f>
        <v>EXP_ofs_ar_invoices::payment_terms::Expression</v>
      </c>
    </row>
    <row r="127" spans="1:9" x14ac:dyDescent="0.25">
      <c r="A127" s="25" t="str">
        <f xml:space="preserve"> MapNameLkup</f>
        <v>m_ofs_trex_ar_invoices</v>
      </c>
      <c r="B127" s="1" t="s">
        <v>845</v>
      </c>
      <c r="C127" s="1" t="s">
        <v>140</v>
      </c>
      <c r="D127" s="1" t="s">
        <v>7</v>
      </c>
      <c r="E127" s="1" t="s">
        <v>859</v>
      </c>
      <c r="F127" s="1" t="s">
        <v>140</v>
      </c>
      <c r="G127" s="1" t="s">
        <v>6</v>
      </c>
      <c r="H127" s="10" t="str">
        <f>CONCATENATE(Connectors[[#This Row],[FROMINSTANCE]],"::",Connectors[[#This Row],[FROMFIELD]],"::",Connectors[[#This Row],[FROMINSTANCETYPE]])</f>
        <v>SQ_ofs_ar_invoices::created_by::Source Qualifier</v>
      </c>
      <c r="I127" s="10" t="str">
        <f>CONCATENATE(Connectors[[#This Row],[TOINSTANCE]],"::",Connectors[[#This Row],[TOFIELD]],"::",Connectors[[#This Row],[TOINSTANCETYPE]])</f>
        <v>EXP_ofs_ar_invoices::created_by::Expression</v>
      </c>
    </row>
    <row r="128" spans="1:9" x14ac:dyDescent="0.25">
      <c r="A128" s="25" t="str">
        <f xml:space="preserve"> MapNameLkup</f>
        <v>m_ofs_trex_ar_invoices</v>
      </c>
      <c r="B128" s="1" t="s">
        <v>845</v>
      </c>
      <c r="C128" s="1" t="s">
        <v>141</v>
      </c>
      <c r="D128" s="1" t="s">
        <v>7</v>
      </c>
      <c r="E128" s="1" t="s">
        <v>859</v>
      </c>
      <c r="F128" s="1" t="s">
        <v>141</v>
      </c>
      <c r="G128" s="1" t="s">
        <v>6</v>
      </c>
      <c r="H128" s="10" t="str">
        <f>CONCATENATE(Connectors[[#This Row],[FROMINSTANCE]],"::",Connectors[[#This Row],[FROMFIELD]],"::",Connectors[[#This Row],[FROMINSTANCETYPE]])</f>
        <v>SQ_ofs_ar_invoices::last_updated_by::Source Qualifier</v>
      </c>
      <c r="I128" s="10" t="str">
        <f>CONCATENATE(Connectors[[#This Row],[TOINSTANCE]],"::",Connectors[[#This Row],[TOFIELD]],"::",Connectors[[#This Row],[TOINSTANCETYPE]])</f>
        <v>EXP_ofs_ar_invoices::last_updated_by::Expression</v>
      </c>
    </row>
    <row r="129" spans="1:9" x14ac:dyDescent="0.25">
      <c r="A129" s="25" t="str">
        <f xml:space="preserve"> MapNameLkup</f>
        <v>m_ofs_trex_ar_invoices</v>
      </c>
      <c r="B129" s="1" t="s">
        <v>845</v>
      </c>
      <c r="C129" s="1" t="s">
        <v>142</v>
      </c>
      <c r="D129" s="1" t="s">
        <v>7</v>
      </c>
      <c r="E129" s="1" t="s">
        <v>859</v>
      </c>
      <c r="F129" s="1" t="s">
        <v>142</v>
      </c>
      <c r="G129" s="1" t="s">
        <v>6</v>
      </c>
      <c r="H129" s="10" t="str">
        <f>CONCATENATE(Connectors[[#This Row],[FROMINSTANCE]],"::",Connectors[[#This Row],[FROMFIELD]],"::",Connectors[[#This Row],[FROMINSTANCETYPE]])</f>
        <v>SQ_ofs_ar_invoices::invoice_creation_date::Source Qualifier</v>
      </c>
      <c r="I129" s="10" t="str">
        <f>CONCATENATE(Connectors[[#This Row],[TOINSTANCE]],"::",Connectors[[#This Row],[TOFIELD]],"::",Connectors[[#This Row],[TOINSTANCETYPE]])</f>
        <v>EXP_ofs_ar_invoices::invoice_creation_date::Expression</v>
      </c>
    </row>
    <row r="130" spans="1:9" x14ac:dyDescent="0.25">
      <c r="A130" s="25" t="str">
        <f xml:space="preserve"> MapNameLkup</f>
        <v>m_ofs_trex_ar_invoices</v>
      </c>
      <c r="B130" s="1" t="s">
        <v>845</v>
      </c>
      <c r="C130" s="1" t="s">
        <v>143</v>
      </c>
      <c r="D130" s="1" t="s">
        <v>7</v>
      </c>
      <c r="E130" s="1" t="s">
        <v>859</v>
      </c>
      <c r="F130" s="1" t="s">
        <v>143</v>
      </c>
      <c r="G130" s="1" t="s">
        <v>6</v>
      </c>
      <c r="H130" s="10" t="str">
        <f>CONCATENATE(Connectors[[#This Row],[FROMINSTANCE]],"::",Connectors[[#This Row],[FROMFIELD]],"::",Connectors[[#This Row],[FROMINSTANCETYPE]])</f>
        <v>SQ_ofs_ar_invoices::invoice_last_update_date::Source Qualifier</v>
      </c>
      <c r="I130" s="10" t="str">
        <f>CONCATENATE(Connectors[[#This Row],[TOINSTANCE]],"::",Connectors[[#This Row],[TOFIELD]],"::",Connectors[[#This Row],[TOINSTANCETYPE]])</f>
        <v>EXP_ofs_ar_invoices::invoice_last_update_date::Expression</v>
      </c>
    </row>
    <row r="131" spans="1:9" x14ac:dyDescent="0.25">
      <c r="A131" s="25" t="str">
        <f xml:space="preserve"> MapNameLkup</f>
        <v>m_ofs_trex_ar_invoices</v>
      </c>
      <c r="B131" s="1" t="s">
        <v>845</v>
      </c>
      <c r="C131" s="1" t="s">
        <v>128</v>
      </c>
      <c r="D131" s="1" t="s">
        <v>7</v>
      </c>
      <c r="E131" s="1" t="s">
        <v>859</v>
      </c>
      <c r="F131" s="1" t="s">
        <v>128</v>
      </c>
      <c r="G131" s="1" t="s">
        <v>6</v>
      </c>
      <c r="H131" s="10" t="str">
        <f>CONCATENATE(Connectors[[#This Row],[FROMINSTANCE]],"::",Connectors[[#This Row],[FROMFIELD]],"::",Connectors[[#This Row],[FROMINSTANCETYPE]])</f>
        <v>SQ_ofs_ar_invoices::due_date::Source Qualifier</v>
      </c>
      <c r="I131" s="10" t="str">
        <f>CONCATENATE(Connectors[[#This Row],[TOINSTANCE]],"::",Connectors[[#This Row],[TOFIELD]],"::",Connectors[[#This Row],[TOINSTANCETYPE]])</f>
        <v>EXP_ofs_ar_invoices::due_date::Expression</v>
      </c>
    </row>
    <row r="132" spans="1:9" x14ac:dyDescent="0.25">
      <c r="A132" s="25" t="str">
        <f xml:space="preserve"> MapNameLkup</f>
        <v>m_ofs_trex_ar_invoices</v>
      </c>
      <c r="B132" s="1" t="s">
        <v>845</v>
      </c>
      <c r="C132" s="1" t="s">
        <v>139</v>
      </c>
      <c r="D132" s="1" t="s">
        <v>7</v>
      </c>
      <c r="E132" s="1" t="s">
        <v>859</v>
      </c>
      <c r="F132" s="1" t="s">
        <v>139</v>
      </c>
      <c r="G132" s="1" t="s">
        <v>6</v>
      </c>
      <c r="H132" s="10" t="str">
        <f>CONCATENATE(Connectors[[#This Row],[FROMINSTANCE]],"::",Connectors[[#This Row],[FROMFIELD]],"::",Connectors[[#This Row],[FROMINSTANCETYPE]])</f>
        <v>SQ_ofs_ar_invoices::receipt_method::Source Qualifier</v>
      </c>
      <c r="I132" s="10" t="str">
        <f>CONCATENATE(Connectors[[#This Row],[TOINSTANCE]],"::",Connectors[[#This Row],[TOFIELD]],"::",Connectors[[#This Row],[TOINSTANCETYPE]])</f>
        <v>EXP_ofs_ar_invoices::receipt_method::Expression</v>
      </c>
    </row>
    <row r="133" spans="1:9" x14ac:dyDescent="0.25">
      <c r="A133" s="25" t="str">
        <f xml:space="preserve"> MapNameLkup</f>
        <v>m_ofs_trex_ar_invoices</v>
      </c>
      <c r="B133" s="1" t="s">
        <v>845</v>
      </c>
      <c r="C133" s="1" t="s">
        <v>132</v>
      </c>
      <c r="D133" s="1" t="s">
        <v>7</v>
      </c>
      <c r="E133" s="1" t="s">
        <v>859</v>
      </c>
      <c r="F133" s="1" t="s">
        <v>132</v>
      </c>
      <c r="G133" s="1" t="s">
        <v>6</v>
      </c>
      <c r="H133" s="10" t="str">
        <f>CONCATENATE(Connectors[[#This Row],[FROMINSTANCE]],"::",Connectors[[#This Row],[FROMFIELD]],"::",Connectors[[#This Row],[FROMINSTANCETYPE]])</f>
        <v>SQ_ofs_ar_invoices::amount::Source Qualifier</v>
      </c>
      <c r="I133" s="10" t="str">
        <f>CONCATENATE(Connectors[[#This Row],[TOINSTANCE]],"::",Connectors[[#This Row],[TOFIELD]],"::",Connectors[[#This Row],[TOINSTANCETYPE]])</f>
        <v>EXP_ofs_ar_invoices::amount::Expression</v>
      </c>
    </row>
    <row r="134" spans="1:9" x14ac:dyDescent="0.25">
      <c r="A134" s="25" t="str">
        <f xml:space="preserve"> MapNameLkup</f>
        <v>m_ofs_trex_ar_invoices</v>
      </c>
      <c r="B134" s="1" t="s">
        <v>845</v>
      </c>
      <c r="C134" s="1" t="s">
        <v>133</v>
      </c>
      <c r="D134" s="1" t="s">
        <v>7</v>
      </c>
      <c r="E134" s="1" t="s">
        <v>859</v>
      </c>
      <c r="F134" s="1" t="s">
        <v>133</v>
      </c>
      <c r="G134" s="1" t="s">
        <v>6</v>
      </c>
      <c r="H134" s="10" t="str">
        <f>CONCATENATE(Connectors[[#This Row],[FROMINSTANCE]],"::",Connectors[[#This Row],[FROMFIELD]],"::",Connectors[[#This Row],[FROMINSTANCETYPE]])</f>
        <v>SQ_ofs_ar_invoices::acctd_amount_applied_to::Source Qualifier</v>
      </c>
      <c r="I134" s="10" t="str">
        <f>CONCATENATE(Connectors[[#This Row],[TOINSTANCE]],"::",Connectors[[#This Row],[TOFIELD]],"::",Connectors[[#This Row],[TOINSTANCETYPE]])</f>
        <v>EXP_ofs_ar_invoices::acctd_amount_applied_to::Expression</v>
      </c>
    </row>
    <row r="135" spans="1:9" x14ac:dyDescent="0.25">
      <c r="A135" s="25" t="str">
        <f xml:space="preserve"> MapNameLkup</f>
        <v>m_ofs_trex_ar_invoices</v>
      </c>
      <c r="B135" s="1" t="s">
        <v>845</v>
      </c>
      <c r="C135" s="1" t="s">
        <v>135</v>
      </c>
      <c r="D135" s="1" t="s">
        <v>7</v>
      </c>
      <c r="E135" s="1" t="s">
        <v>859</v>
      </c>
      <c r="F135" s="1" t="s">
        <v>135</v>
      </c>
      <c r="G135" s="1" t="s">
        <v>6</v>
      </c>
      <c r="H135" s="10" t="str">
        <f>CONCATENATE(Connectors[[#This Row],[FROMINSTANCE]],"::",Connectors[[#This Row],[FROMFIELD]],"::",Connectors[[#This Row],[FROMINSTANCETYPE]])</f>
        <v>SQ_ofs_ar_invoices::acctd_amount_due_remaining::Source Qualifier</v>
      </c>
      <c r="I135" s="10" t="str">
        <f>CONCATENATE(Connectors[[#This Row],[TOINSTANCE]],"::",Connectors[[#This Row],[TOFIELD]],"::",Connectors[[#This Row],[TOINSTANCETYPE]])</f>
        <v>EXP_ofs_ar_invoices::acctd_amount_due_remaining::Expression</v>
      </c>
    </row>
    <row r="136" spans="1:9" x14ac:dyDescent="0.25">
      <c r="A136" s="25" t="str">
        <f xml:space="preserve"> MapNameLkup</f>
        <v>m_ofs_trex_ar_invoices</v>
      </c>
      <c r="B136" s="1" t="s">
        <v>845</v>
      </c>
      <c r="C136" s="1" t="s">
        <v>119</v>
      </c>
      <c r="D136" s="1" t="s">
        <v>7</v>
      </c>
      <c r="E136" s="1" t="s">
        <v>859</v>
      </c>
      <c r="F136" s="1" t="s">
        <v>119</v>
      </c>
      <c r="G136" s="1" t="s">
        <v>6</v>
      </c>
      <c r="H136" s="10" t="str">
        <f>CONCATENATE(Connectors[[#This Row],[FROMINSTANCE]],"::",Connectors[[#This Row],[FROMFIELD]],"::",Connectors[[#This Row],[FROMINSTANCETYPE]])</f>
        <v>SQ_ofs_ar_invoices::company::Source Qualifier</v>
      </c>
      <c r="I136" s="10" t="str">
        <f>CONCATENATE(Connectors[[#This Row],[TOINSTANCE]],"::",Connectors[[#This Row],[TOFIELD]],"::",Connectors[[#This Row],[TOINSTANCETYPE]])</f>
        <v>EXP_ofs_ar_invoices::company::Expression</v>
      </c>
    </row>
    <row r="137" spans="1:9" x14ac:dyDescent="0.25">
      <c r="A137" s="25" t="str">
        <f xml:space="preserve"> MapNameLkup</f>
        <v>m_ofs_trex_ar_invoices</v>
      </c>
      <c r="B137" s="1" t="s">
        <v>845</v>
      </c>
      <c r="C137" s="1" t="s">
        <v>120</v>
      </c>
      <c r="D137" s="1" t="s">
        <v>7</v>
      </c>
      <c r="E137" s="1" t="s">
        <v>859</v>
      </c>
      <c r="F137" s="1" t="s">
        <v>120</v>
      </c>
      <c r="G137" s="1" t="s">
        <v>6</v>
      </c>
      <c r="H137" s="10" t="str">
        <f>CONCATENATE(Connectors[[#This Row],[FROMINSTANCE]],"::",Connectors[[#This Row],[FROMFIELD]],"::",Connectors[[#This Row],[FROMINSTANCETYPE]])</f>
        <v>SQ_ofs_ar_invoices::company_description::Source Qualifier</v>
      </c>
      <c r="I137" s="10" t="str">
        <f>CONCATENATE(Connectors[[#This Row],[TOINSTANCE]],"::",Connectors[[#This Row],[TOFIELD]],"::",Connectors[[#This Row],[TOINSTANCETYPE]])</f>
        <v>EXP_ofs_ar_invoices::company_description::Expression</v>
      </c>
    </row>
    <row r="138" spans="1:9" x14ac:dyDescent="0.25">
      <c r="A138" s="25" t="str">
        <f xml:space="preserve"> MapNameLkup</f>
        <v>m_ofs_trex_ar_invoices</v>
      </c>
      <c r="B138" s="1" t="s">
        <v>845</v>
      </c>
      <c r="C138" s="1" t="s">
        <v>121</v>
      </c>
      <c r="D138" s="1" t="s">
        <v>7</v>
      </c>
      <c r="E138" s="1" t="s">
        <v>859</v>
      </c>
      <c r="F138" s="1" t="s">
        <v>121</v>
      </c>
      <c r="G138" s="1" t="s">
        <v>6</v>
      </c>
      <c r="H138" s="10" t="str">
        <f>CONCATENATE(Connectors[[#This Row],[FROMINSTANCE]],"::",Connectors[[#This Row],[FROMFIELD]],"::",Connectors[[#This Row],[FROMINSTANCETYPE]])</f>
        <v>SQ_ofs_ar_invoices::account_number::Source Qualifier</v>
      </c>
      <c r="I138" s="10" t="str">
        <f>CONCATENATE(Connectors[[#This Row],[TOINSTANCE]],"::",Connectors[[#This Row],[TOFIELD]],"::",Connectors[[#This Row],[TOINSTANCETYPE]])</f>
        <v>EXP_ofs_ar_invoices::account_number::Expression</v>
      </c>
    </row>
    <row r="139" spans="1:9" x14ac:dyDescent="0.25">
      <c r="A139" s="25" t="str">
        <f xml:space="preserve"> MapNameLkup</f>
        <v>m_ofs_trex_ar_invoices</v>
      </c>
      <c r="B139" s="1" t="s">
        <v>845</v>
      </c>
      <c r="C139" s="1" t="s">
        <v>122</v>
      </c>
      <c r="D139" s="1" t="s">
        <v>7</v>
      </c>
      <c r="E139" s="1" t="s">
        <v>859</v>
      </c>
      <c r="F139" s="1" t="s">
        <v>122</v>
      </c>
      <c r="G139" s="1" t="s">
        <v>6</v>
      </c>
      <c r="H139" s="10" t="str">
        <f>CONCATENATE(Connectors[[#This Row],[FROMINSTANCE]],"::",Connectors[[#This Row],[FROMFIELD]],"::",Connectors[[#This Row],[FROMINSTANCETYPE]])</f>
        <v>SQ_ofs_ar_invoices::party_name::Source Qualifier</v>
      </c>
      <c r="I139" s="10" t="str">
        <f>CONCATENATE(Connectors[[#This Row],[TOINSTANCE]],"::",Connectors[[#This Row],[TOFIELD]],"::",Connectors[[#This Row],[TOINSTANCETYPE]])</f>
        <v>EXP_ofs_ar_invoices::party_name::Expression</v>
      </c>
    </row>
    <row r="140" spans="1:9" x14ac:dyDescent="0.25">
      <c r="A140" s="25" t="str">
        <f xml:space="preserve"> MapNameLkup</f>
        <v>m_ofs_trex_ar_invoices</v>
      </c>
      <c r="B140" s="1" t="s">
        <v>845</v>
      </c>
      <c r="C140" s="1" t="s">
        <v>123</v>
      </c>
      <c r="D140" s="1" t="s">
        <v>7</v>
      </c>
      <c r="E140" s="1" t="s">
        <v>859</v>
      </c>
      <c r="F140" s="1" t="s">
        <v>123</v>
      </c>
      <c r="G140" s="1" t="s">
        <v>6</v>
      </c>
      <c r="H140" s="10" t="str">
        <f>CONCATENATE(Connectors[[#This Row],[FROMINSTANCE]],"::",Connectors[[#This Row],[FROMFIELD]],"::",Connectors[[#This Row],[FROMINSTANCETYPE]])</f>
        <v>SQ_ofs_ar_invoices::customer_trx_id::Source Qualifier</v>
      </c>
      <c r="I140" s="10" t="str">
        <f>CONCATENATE(Connectors[[#This Row],[TOINSTANCE]],"::",Connectors[[#This Row],[TOFIELD]],"::",Connectors[[#This Row],[TOINSTANCETYPE]])</f>
        <v>EXP_ofs_ar_invoices::customer_trx_id::Expression</v>
      </c>
    </row>
    <row r="141" spans="1:9" x14ac:dyDescent="0.25">
      <c r="A141" s="25" t="str">
        <f xml:space="preserve"> MapNameLkup</f>
        <v>m_ofs_trex_ar_invoices</v>
      </c>
      <c r="B141" s="1" t="s">
        <v>845</v>
      </c>
      <c r="C141" s="1" t="s">
        <v>124</v>
      </c>
      <c r="D141" s="1" t="s">
        <v>7</v>
      </c>
      <c r="E141" s="1" t="s">
        <v>859</v>
      </c>
      <c r="F141" s="1" t="s">
        <v>124</v>
      </c>
      <c r="G141" s="1" t="s">
        <v>6</v>
      </c>
      <c r="H141" s="10" t="str">
        <f>CONCATENATE(Connectors[[#This Row],[FROMINSTANCE]],"::",Connectors[[#This Row],[FROMFIELD]],"::",Connectors[[#This Row],[FROMINSTANCETYPE]])</f>
        <v>SQ_ofs_ar_invoices::invoice_number::Source Qualifier</v>
      </c>
      <c r="I141" s="10" t="str">
        <f>CONCATENATE(Connectors[[#This Row],[TOINSTANCE]],"::",Connectors[[#This Row],[TOFIELD]],"::",Connectors[[#This Row],[TOINSTANCETYPE]])</f>
        <v>EXP_ofs_ar_invoices::invoice_number::Expression</v>
      </c>
    </row>
    <row r="142" spans="1:9" x14ac:dyDescent="0.25">
      <c r="A142" s="25" t="str">
        <f xml:space="preserve"> MapNameLkup</f>
        <v>m_ofs_trex_ar_invoices</v>
      </c>
      <c r="B142" s="1" t="s">
        <v>845</v>
      </c>
      <c r="C142" s="1" t="s">
        <v>125</v>
      </c>
      <c r="D142" s="1" t="s">
        <v>7</v>
      </c>
      <c r="E142" s="1" t="s">
        <v>859</v>
      </c>
      <c r="F142" s="1" t="s">
        <v>125</v>
      </c>
      <c r="G142" s="1" t="s">
        <v>6</v>
      </c>
      <c r="H142" s="10" t="str">
        <f>CONCATENATE(Connectors[[#This Row],[FROMINSTANCE]],"::",Connectors[[#This Row],[FROMFIELD]],"::",Connectors[[#This Row],[FROMINSTANCETYPE]])</f>
        <v>SQ_ofs_ar_invoices::kme_ar_inv_no::Source Qualifier</v>
      </c>
      <c r="I142" s="10" t="str">
        <f>CONCATENATE(Connectors[[#This Row],[TOINSTANCE]],"::",Connectors[[#This Row],[TOFIELD]],"::",Connectors[[#This Row],[TOINSTANCETYPE]])</f>
        <v>EXP_ofs_ar_invoices::kme_ar_inv_no::Expression</v>
      </c>
    </row>
    <row r="143" spans="1:9" x14ac:dyDescent="0.25">
      <c r="A143" s="25" t="str">
        <f xml:space="preserve"> MapNameLkup</f>
        <v>m_ofs_trex_ar_invoices</v>
      </c>
      <c r="B143" s="1" t="s">
        <v>97</v>
      </c>
      <c r="C143" s="1" t="s">
        <v>335</v>
      </c>
      <c r="D143" s="1" t="s">
        <v>52</v>
      </c>
      <c r="E143" s="1" t="s">
        <v>845</v>
      </c>
      <c r="F143" s="1" t="s">
        <v>134</v>
      </c>
      <c r="G143" s="1" t="s">
        <v>7</v>
      </c>
      <c r="H143" s="10" t="str">
        <f>CONCATENATE(Connectors[[#This Row],[FROMINSTANCE]],"::",Connectors[[#This Row],[FROMFIELD]],"::",Connectors[[#This Row],[FROMINSTANCETYPE]])</f>
        <v>AR_RECEIVABLE_APPLICATIONS_ALL::AMOUNT_APPLIED::Source Definition</v>
      </c>
      <c r="I143" s="10" t="str">
        <f>CONCATENATE(Connectors[[#This Row],[TOINSTANCE]],"::",Connectors[[#This Row],[TOFIELD]],"::",Connectors[[#This Row],[TOINSTANCETYPE]])</f>
        <v>SQ_ofs_ar_invoices::amount_applied::Source Qualifier</v>
      </c>
    </row>
    <row r="144" spans="1:9" x14ac:dyDescent="0.25">
      <c r="A144" s="25" t="str">
        <f xml:space="preserve"> MapNameLkup</f>
        <v>m_ofs_trex_ar_invoices</v>
      </c>
      <c r="B144" s="1" t="s">
        <v>96</v>
      </c>
      <c r="C144" s="1" t="s">
        <v>319</v>
      </c>
      <c r="D144" s="1" t="s">
        <v>52</v>
      </c>
      <c r="E144" s="1" t="s">
        <v>845</v>
      </c>
      <c r="F144" s="1" t="s">
        <v>136</v>
      </c>
      <c r="G144" s="1" t="s">
        <v>7</v>
      </c>
      <c r="H144" s="10" t="str">
        <f>CONCATENATE(Connectors[[#This Row],[FROMINSTANCE]],"::",Connectors[[#This Row],[FROMFIELD]],"::",Connectors[[#This Row],[FROMINSTANCETYPE]])</f>
        <v>AR_PAYMENT_SCHEDULES_ALL::AMOUNT_DUE_REMAINING::Source Definition</v>
      </c>
      <c r="I144" s="10" t="str">
        <f>CONCATENATE(Connectors[[#This Row],[TOINSTANCE]],"::",Connectors[[#This Row],[TOFIELD]],"::",Connectors[[#This Row],[TOINSTANCETYPE]])</f>
        <v>SQ_ofs_ar_invoices::amount_due_remaining::Source Qualifier</v>
      </c>
    </row>
    <row r="145" spans="1:9" x14ac:dyDescent="0.25">
      <c r="A145" s="25" t="str">
        <f xml:space="preserve"> MapNameLkup</f>
        <v>m_ofs_trex_ar_invoices</v>
      </c>
      <c r="B145" s="1" t="s">
        <v>102</v>
      </c>
      <c r="C145" s="1" t="s">
        <v>321</v>
      </c>
      <c r="D145" s="1" t="s">
        <v>52</v>
      </c>
      <c r="E145" s="1" t="s">
        <v>845</v>
      </c>
      <c r="F145" s="1" t="s">
        <v>137</v>
      </c>
      <c r="G145" s="1" t="s">
        <v>7</v>
      </c>
      <c r="H145" s="10" t="str">
        <f>CONCATENATE(Connectors[[#This Row],[FROMINSTANCE]],"::",Connectors[[#This Row],[FROMFIELD]],"::",Connectors[[#This Row],[FROMINSTANCETYPE]])</f>
        <v>RA_CUSTOMER_TRX_ALL::INVOICE_CURRENCY_CODE::Source Definition</v>
      </c>
      <c r="I145" s="10" t="str">
        <f>CONCATENATE(Connectors[[#This Row],[TOINSTANCE]],"::",Connectors[[#This Row],[TOFIELD]],"::",Connectors[[#This Row],[TOINSTANCETYPE]])</f>
        <v>SQ_ofs_ar_invoices::currency_code::Source Qualifier</v>
      </c>
    </row>
    <row r="146" spans="1:9" x14ac:dyDescent="0.25">
      <c r="A146" s="25" t="str">
        <f xml:space="preserve"> MapNameLkup</f>
        <v>m_ofs_trex_ar_invoices</v>
      </c>
      <c r="B146" s="1" t="s">
        <v>95</v>
      </c>
      <c r="C146" s="1" t="s">
        <v>3</v>
      </c>
      <c r="D146" s="1" t="s">
        <v>52</v>
      </c>
      <c r="E146" s="1" t="s">
        <v>845</v>
      </c>
      <c r="F146" s="1" t="s">
        <v>138</v>
      </c>
      <c r="G146" s="1" t="s">
        <v>7</v>
      </c>
      <c r="H146" s="10" t="str">
        <f>CONCATENATE(Connectors[[#This Row],[FROMINSTANCE]],"::",Connectors[[#This Row],[FROMFIELD]],"::",Connectors[[#This Row],[FROMINSTANCETYPE]])</f>
        <v>RA_TERMS_TL::NAME::Source Definition</v>
      </c>
      <c r="I146" s="10" t="str">
        <f>CONCATENATE(Connectors[[#This Row],[TOINSTANCE]],"::",Connectors[[#This Row],[TOFIELD]],"::",Connectors[[#This Row],[TOINSTANCETYPE]])</f>
        <v>SQ_ofs_ar_invoices::payment_terms::Source Qualifier</v>
      </c>
    </row>
    <row r="147" spans="1:9" x14ac:dyDescent="0.25">
      <c r="A147" s="25" t="str">
        <f xml:space="preserve"> MapNameLkup</f>
        <v>m_ofs_trex_ar_invoices</v>
      </c>
      <c r="B147" s="1" t="s">
        <v>100</v>
      </c>
      <c r="C147" s="1" t="s">
        <v>513</v>
      </c>
      <c r="D147" s="1" t="s">
        <v>52</v>
      </c>
      <c r="E147" s="1" t="s">
        <v>845</v>
      </c>
      <c r="F147" s="1" t="s">
        <v>140</v>
      </c>
      <c r="G147" s="1" t="s">
        <v>7</v>
      </c>
      <c r="H147" s="10" t="str">
        <f>CONCATENATE(Connectors[[#This Row],[FROMINSTANCE]],"::",Connectors[[#This Row],[FROMFIELD]],"::",Connectors[[#This Row],[FROMINSTANCETYPE]])</f>
        <v>FND_USER::USER_NAME::Source Definition</v>
      </c>
      <c r="I147" s="10" t="str">
        <f>CONCATENATE(Connectors[[#This Row],[TOINSTANCE]],"::",Connectors[[#This Row],[TOFIELD]],"::",Connectors[[#This Row],[TOINSTANCETYPE]])</f>
        <v>SQ_ofs_ar_invoices::created_by::Source Qualifier</v>
      </c>
    </row>
    <row r="148" spans="1:9" x14ac:dyDescent="0.25">
      <c r="A148" s="25" t="str">
        <f xml:space="preserve"> MapNameLkup</f>
        <v>m_ofs_trex_ar_invoices</v>
      </c>
      <c r="B148" s="1" t="s">
        <v>100</v>
      </c>
      <c r="C148" s="1" t="s">
        <v>513</v>
      </c>
      <c r="D148" s="1" t="s">
        <v>52</v>
      </c>
      <c r="E148" s="1" t="s">
        <v>845</v>
      </c>
      <c r="F148" s="1" t="s">
        <v>141</v>
      </c>
      <c r="G148" s="1" t="s">
        <v>7</v>
      </c>
      <c r="H148" s="10" t="str">
        <f>CONCATENATE(Connectors[[#This Row],[FROMINSTANCE]],"::",Connectors[[#This Row],[FROMFIELD]],"::",Connectors[[#This Row],[FROMINSTANCETYPE]])</f>
        <v>FND_USER::USER_NAME::Source Definition</v>
      </c>
      <c r="I148" s="10" t="str">
        <f>CONCATENATE(Connectors[[#This Row],[TOINSTANCE]],"::",Connectors[[#This Row],[TOFIELD]],"::",Connectors[[#This Row],[TOINSTANCETYPE]])</f>
        <v>SQ_ofs_ar_invoices::last_updated_by::Source Qualifier</v>
      </c>
    </row>
    <row r="149" spans="1:9" x14ac:dyDescent="0.25">
      <c r="A149" s="25" t="str">
        <f xml:space="preserve"> MapNameLkup</f>
        <v>m_ofs_trex_ar_invoices</v>
      </c>
      <c r="B149" s="1" t="s">
        <v>96</v>
      </c>
      <c r="C149" s="1" t="s">
        <v>317</v>
      </c>
      <c r="D149" s="1" t="s">
        <v>52</v>
      </c>
      <c r="E149" s="1" t="s">
        <v>845</v>
      </c>
      <c r="F149" s="1" t="s">
        <v>128</v>
      </c>
      <c r="G149" s="1" t="s">
        <v>7</v>
      </c>
      <c r="H149" s="10" t="str">
        <f>CONCATENATE(Connectors[[#This Row],[FROMINSTANCE]],"::",Connectors[[#This Row],[FROMFIELD]],"::",Connectors[[#This Row],[FROMINSTANCETYPE]])</f>
        <v>AR_PAYMENT_SCHEDULES_ALL::DUE_DATE::Source Definition</v>
      </c>
      <c r="I149" s="10" t="str">
        <f>CONCATENATE(Connectors[[#This Row],[TOINSTANCE]],"::",Connectors[[#This Row],[TOFIELD]],"::",Connectors[[#This Row],[TOINSTANCETYPE]])</f>
        <v>SQ_ofs_ar_invoices::due_date::Source Qualifier</v>
      </c>
    </row>
    <row r="150" spans="1:9" x14ac:dyDescent="0.25">
      <c r="A150" s="25" t="str">
        <f xml:space="preserve"> MapNameLkup</f>
        <v>m_ofs_trex_ar_invoices</v>
      </c>
      <c r="B150" s="1" t="s">
        <v>93</v>
      </c>
      <c r="C150" s="1" t="s">
        <v>3</v>
      </c>
      <c r="D150" s="1" t="s">
        <v>52</v>
      </c>
      <c r="E150" s="1" t="s">
        <v>845</v>
      </c>
      <c r="F150" s="1" t="s">
        <v>139</v>
      </c>
      <c r="G150" s="1" t="s">
        <v>7</v>
      </c>
      <c r="H150" s="10" t="str">
        <f>CONCATENATE(Connectors[[#This Row],[FROMINSTANCE]],"::",Connectors[[#This Row],[FROMFIELD]],"::",Connectors[[#This Row],[FROMINSTANCETYPE]])</f>
        <v>AR_RECEIPT_METHODS::NAME::Source Definition</v>
      </c>
      <c r="I150" s="10" t="str">
        <f>CONCATENATE(Connectors[[#This Row],[TOINSTANCE]],"::",Connectors[[#This Row],[TOFIELD]],"::",Connectors[[#This Row],[TOINSTANCETYPE]])</f>
        <v>SQ_ofs_ar_invoices::receipt_method::Source Qualifier</v>
      </c>
    </row>
    <row r="151" spans="1:9" x14ac:dyDescent="0.25">
      <c r="A151" s="25" t="str">
        <f xml:space="preserve"> MapNameLkup</f>
        <v>m_ofs_trex_ar_invoices</v>
      </c>
      <c r="B151" s="1" t="s">
        <v>97</v>
      </c>
      <c r="C151" s="1" t="s">
        <v>427</v>
      </c>
      <c r="D151" s="1" t="s">
        <v>52</v>
      </c>
      <c r="E151" s="1" t="s">
        <v>845</v>
      </c>
      <c r="F151" s="1" t="s">
        <v>133</v>
      </c>
      <c r="G151" s="1" t="s">
        <v>7</v>
      </c>
      <c r="H151" s="10" t="str">
        <f>CONCATENATE(Connectors[[#This Row],[FROMINSTANCE]],"::",Connectors[[#This Row],[FROMFIELD]],"::",Connectors[[#This Row],[FROMINSTANCETYPE]])</f>
        <v>AR_RECEIVABLE_APPLICATIONS_ALL::ACCTD_AMOUNT_APPLIED_TO::Source Definition</v>
      </c>
      <c r="I151" s="10" t="str">
        <f>CONCATENATE(Connectors[[#This Row],[TOINSTANCE]],"::",Connectors[[#This Row],[TOFIELD]],"::",Connectors[[#This Row],[TOINSTANCETYPE]])</f>
        <v>SQ_ofs_ar_invoices::acctd_amount_applied_to::Source Qualifier</v>
      </c>
    </row>
    <row r="152" spans="1:9" x14ac:dyDescent="0.25">
      <c r="A152" s="25" t="str">
        <f xml:space="preserve"> MapNameLkup</f>
        <v>m_ofs_trex_ar_invoices</v>
      </c>
      <c r="B152" s="1" t="s">
        <v>96</v>
      </c>
      <c r="C152" s="1" t="s">
        <v>377</v>
      </c>
      <c r="D152" s="1" t="s">
        <v>52</v>
      </c>
      <c r="E152" s="1" t="s">
        <v>845</v>
      </c>
      <c r="F152" s="1" t="s">
        <v>135</v>
      </c>
      <c r="G152" s="1" t="s">
        <v>7</v>
      </c>
      <c r="H152" s="10" t="str">
        <f>CONCATENATE(Connectors[[#This Row],[FROMINSTANCE]],"::",Connectors[[#This Row],[FROMFIELD]],"::",Connectors[[#This Row],[FROMINSTANCETYPE]])</f>
        <v>AR_PAYMENT_SCHEDULES_ALL::ACCTD_AMOUNT_DUE_REMAINING::Source Definition</v>
      </c>
      <c r="I152" s="10" t="str">
        <f>CONCATENATE(Connectors[[#This Row],[TOINSTANCE]],"::",Connectors[[#This Row],[TOFIELD]],"::",Connectors[[#This Row],[TOINSTANCETYPE]])</f>
        <v>SQ_ofs_ar_invoices::acctd_amount_due_remaining::Source Qualifier</v>
      </c>
    </row>
    <row r="153" spans="1:9" x14ac:dyDescent="0.25">
      <c r="A153" s="25" t="str">
        <f xml:space="preserve"> MapNameLkup</f>
        <v>m_ofs_trex_ar_invoices</v>
      </c>
      <c r="B153" s="1" t="s">
        <v>846</v>
      </c>
      <c r="C153" s="1" t="s">
        <v>864</v>
      </c>
      <c r="D153" s="1" t="s">
        <v>6</v>
      </c>
      <c r="E153" s="1" t="s">
        <v>862</v>
      </c>
      <c r="F153" s="1" t="s">
        <v>864</v>
      </c>
      <c r="G153" s="1" t="s">
        <v>66</v>
      </c>
      <c r="H153" s="10" t="str">
        <f>CONCATENATE(Connectors[[#This Row],[FROMINSTANCE]],"::",Connectors[[#This Row],[FROMFIELD]],"::",Connectors[[#This Row],[FROMINSTANCETYPE]])</f>
        <v>EXP_XX_TREX_INCL::o_process_nm::Expression</v>
      </c>
      <c r="I153" s="10" t="str">
        <f>CONCATENATE(Connectors[[#This Row],[TOINSTANCE]],"::",Connectors[[#This Row],[TOFIELD]],"::",Connectors[[#This Row],[TOINSTANCETYPE]])</f>
        <v>STRAT_INS_XX_TREX_INCL::o_process_nm::Update Strategy</v>
      </c>
    </row>
    <row r="154" spans="1:9" x14ac:dyDescent="0.25">
      <c r="A154" s="25" t="str">
        <f xml:space="preserve"> MapNameLkup</f>
        <v>m_ofs_trex_ar_invoices</v>
      </c>
      <c r="B154" s="1" t="s">
        <v>846</v>
      </c>
      <c r="C154" s="1" t="s">
        <v>123</v>
      </c>
      <c r="D154" s="1" t="s">
        <v>6</v>
      </c>
      <c r="E154" s="1" t="s">
        <v>862</v>
      </c>
      <c r="F154" s="1" t="s">
        <v>123</v>
      </c>
      <c r="G154" s="1" t="s">
        <v>66</v>
      </c>
      <c r="H154" s="10" t="str">
        <f>CONCATENATE(Connectors[[#This Row],[FROMINSTANCE]],"::",Connectors[[#This Row],[FROMFIELD]],"::",Connectors[[#This Row],[FROMINSTANCETYPE]])</f>
        <v>EXP_XX_TREX_INCL::customer_trx_id::Expression</v>
      </c>
      <c r="I154" s="10" t="str">
        <f>CONCATENATE(Connectors[[#This Row],[TOINSTANCE]],"::",Connectors[[#This Row],[TOFIELD]],"::",Connectors[[#This Row],[TOINSTANCETYPE]])</f>
        <v>STRAT_INS_XX_TREX_INCL::customer_trx_id::Update Strategy</v>
      </c>
    </row>
    <row r="155" spans="1:9" x14ac:dyDescent="0.25">
      <c r="A155" s="25" t="str">
        <f xml:space="preserve"> MapNameLkup</f>
        <v>m_ofs_trex_ar_invoices</v>
      </c>
      <c r="B155" s="1" t="s">
        <v>847</v>
      </c>
      <c r="C155" s="1" t="s">
        <v>123</v>
      </c>
      <c r="D155" s="1" t="s">
        <v>7</v>
      </c>
      <c r="E155" s="1" t="s">
        <v>846</v>
      </c>
      <c r="F155" s="1" t="s">
        <v>123</v>
      </c>
      <c r="G155" s="1" t="s">
        <v>6</v>
      </c>
      <c r="H155" s="10" t="str">
        <f>CONCATENATE(Connectors[[#This Row],[FROMINSTANCE]],"::",Connectors[[#This Row],[FROMFIELD]],"::",Connectors[[#This Row],[FROMINSTANCETYPE]])</f>
        <v>SQ_incl_ofs_ar_invoices::customer_trx_id::Source Qualifier</v>
      </c>
      <c r="I155" s="10" t="str">
        <f>CONCATENATE(Connectors[[#This Row],[TOINSTANCE]],"::",Connectors[[#This Row],[TOFIELD]],"::",Connectors[[#This Row],[TOINSTANCETYPE]])</f>
        <v>EXP_XX_TREX_INCL::customer_trx_id::Expression</v>
      </c>
    </row>
    <row r="156" spans="1:9" x14ac:dyDescent="0.25">
      <c r="A156" s="25" t="str">
        <f xml:space="preserve"> MapNameLkup</f>
        <v>m_ofs_trex_ar_invoices</v>
      </c>
      <c r="B156" s="1" t="s">
        <v>951</v>
      </c>
      <c r="C156" s="1" t="s">
        <v>123</v>
      </c>
      <c r="D156" s="1" t="s">
        <v>52</v>
      </c>
      <c r="E156" s="1" t="s">
        <v>847</v>
      </c>
      <c r="F156" s="1" t="s">
        <v>123</v>
      </c>
      <c r="G156" s="1" t="s">
        <v>7</v>
      </c>
      <c r="H156" s="10" t="str">
        <f>CONCATENATE(Connectors[[#This Row],[FROMINSTANCE]],"::",Connectors[[#This Row],[FROMFIELD]],"::",Connectors[[#This Row],[FROMINSTANCETYPE]])</f>
        <v>ofs_ar_invoices1::customer_trx_id::Source Definition</v>
      </c>
      <c r="I156" s="10" t="str">
        <f>CONCATENATE(Connectors[[#This Row],[TOINSTANCE]],"::",Connectors[[#This Row],[TOFIELD]],"::",Connectors[[#This Row],[TOINSTANCETYPE]])</f>
        <v>SQ_incl_ofs_ar_invoices::customer_trx_id::Source Qualifier</v>
      </c>
    </row>
    <row r="157" spans="1:9" x14ac:dyDescent="0.25">
      <c r="A157" s="25" t="str">
        <f xml:space="preserve"> MapNameLkup</f>
        <v>m_ofs_trex_ar_invoices</v>
      </c>
      <c r="B157" s="1" t="s">
        <v>848</v>
      </c>
      <c r="C157" s="1" t="s">
        <v>123</v>
      </c>
      <c r="D157" s="1" t="s">
        <v>7</v>
      </c>
      <c r="E157" s="1" t="s">
        <v>849</v>
      </c>
      <c r="F157" s="1" t="s">
        <v>123</v>
      </c>
      <c r="G157" s="1" t="s">
        <v>6</v>
      </c>
      <c r="H157" s="10" t="str">
        <f>CONCATENATE(Connectors[[#This Row],[FROMINSTANCE]],"::",Connectors[[#This Row],[FROMFIELD]],"::",Connectors[[#This Row],[FROMINSTANCETYPE]])</f>
        <v>SQ_min_lkp::customer_trx_id::Source Qualifier</v>
      </c>
      <c r="I157" s="10" t="str">
        <f>CONCATENATE(Connectors[[#This Row],[TOINSTANCE]],"::",Connectors[[#This Row],[TOFIELD]],"::",Connectors[[#This Row],[TOINSTANCETYPE]])</f>
        <v>EXP_min_lkp::customer_trx_id::Expression</v>
      </c>
    </row>
    <row r="158" spans="1:9" x14ac:dyDescent="0.25">
      <c r="A158" s="25" t="str">
        <f xml:space="preserve"> MapNameLkup</f>
        <v>m_ofs_trex_ar_invoices</v>
      </c>
      <c r="B158" s="1" t="s">
        <v>849</v>
      </c>
      <c r="C158" s="1" t="s">
        <v>123</v>
      </c>
      <c r="D158" s="1" t="s">
        <v>6</v>
      </c>
      <c r="E158" s="1" t="s">
        <v>856</v>
      </c>
      <c r="F158" s="1" t="s">
        <v>123</v>
      </c>
      <c r="G158" s="1" t="s">
        <v>66</v>
      </c>
      <c r="H158" s="10" t="str">
        <f>CONCATENATE(Connectors[[#This Row],[FROMINSTANCE]],"::",Connectors[[#This Row],[FROMFIELD]],"::",Connectors[[#This Row],[FROMINSTANCETYPE]])</f>
        <v>EXP_min_lkp::customer_trx_id::Expression</v>
      </c>
      <c r="I158" s="10" t="str">
        <f>CONCATENATE(Connectors[[#This Row],[TOINSTANCE]],"::",Connectors[[#This Row],[TOFIELD]],"::",Connectors[[#This Row],[TOINSTANCETYPE]])</f>
        <v>UPD_trex_ofs_info_min_lkp::customer_trx_id::Update Strategy</v>
      </c>
    </row>
    <row r="159" spans="1:9" x14ac:dyDescent="0.25">
      <c r="A159" s="25" t="str">
        <f xml:space="preserve"> MapNameLkup</f>
        <v>m_ofs_trex_ar_invoices</v>
      </c>
      <c r="B159" s="1" t="s">
        <v>849</v>
      </c>
      <c r="C159" s="1" t="s">
        <v>830</v>
      </c>
      <c r="D159" s="1" t="s">
        <v>6</v>
      </c>
      <c r="E159" s="1" t="s">
        <v>856</v>
      </c>
      <c r="F159" s="1" t="s">
        <v>830</v>
      </c>
      <c r="G159" s="1" t="s">
        <v>66</v>
      </c>
      <c r="H159" s="10" t="str">
        <f>CONCATENATE(Connectors[[#This Row],[FROMINSTANCE]],"::",Connectors[[#This Row],[FROMFIELD]],"::",Connectors[[#This Row],[FROMINSTANCETYPE]])</f>
        <v>EXP_min_lkp::info_cd::Expression</v>
      </c>
      <c r="I159" s="10" t="str">
        <f>CONCATENATE(Connectors[[#This Row],[TOINSTANCE]],"::",Connectors[[#This Row],[TOFIELD]],"::",Connectors[[#This Row],[TOINSTANCETYPE]])</f>
        <v>UPD_trex_ofs_info_min_lkp::info_cd::Update Strategy</v>
      </c>
    </row>
    <row r="160" spans="1:9" x14ac:dyDescent="0.25">
      <c r="A160" s="25" t="str">
        <f xml:space="preserve"> MapNameLkup</f>
        <v>m_ofs_trex_ar_invoices</v>
      </c>
      <c r="B160" s="1" t="s">
        <v>849</v>
      </c>
      <c r="C160" s="1" t="s">
        <v>866</v>
      </c>
      <c r="D160" s="1" t="s">
        <v>6</v>
      </c>
      <c r="E160" s="1" t="s">
        <v>856</v>
      </c>
      <c r="F160" s="1" t="s">
        <v>866</v>
      </c>
      <c r="G160" s="1" t="s">
        <v>66</v>
      </c>
      <c r="H160" s="10" t="str">
        <f>CONCATENATE(Connectors[[#This Row],[FROMINSTANCE]],"::",Connectors[[#This Row],[FROMFIELD]],"::",Connectors[[#This Row],[FROMINSTANCETYPE]])</f>
        <v>EXP_min_lkp::session_start_time::Expression</v>
      </c>
      <c r="I160" s="10" t="str">
        <f>CONCATENATE(Connectors[[#This Row],[TOINSTANCE]],"::",Connectors[[#This Row],[TOFIELD]],"::",Connectors[[#This Row],[TOINSTANCETYPE]])</f>
        <v>UPD_trex_ofs_info_min_lkp::session_start_time::Update Strategy</v>
      </c>
    </row>
    <row r="161" spans="1:9" x14ac:dyDescent="0.25">
      <c r="A161" s="25" t="str">
        <f xml:space="preserve"> MapNameLkup</f>
        <v>m_ofs_trex_ar_invoices</v>
      </c>
      <c r="B161" s="1" t="s">
        <v>849</v>
      </c>
      <c r="C161" s="1" t="s">
        <v>865</v>
      </c>
      <c r="D161" s="1" t="s">
        <v>6</v>
      </c>
      <c r="E161" s="1" t="s">
        <v>856</v>
      </c>
      <c r="F161" s="1" t="s">
        <v>865</v>
      </c>
      <c r="G161" s="1" t="s">
        <v>66</v>
      </c>
      <c r="H161" s="10" t="str">
        <f>CONCATENATE(Connectors[[#This Row],[FROMINSTANCE]],"::",Connectors[[#This Row],[FROMFIELD]],"::",Connectors[[#This Row],[FROMINSTANCETYPE]])</f>
        <v>EXP_min_lkp::mod_user::Expression</v>
      </c>
      <c r="I161" s="10" t="str">
        <f>CONCATENATE(Connectors[[#This Row],[TOINSTANCE]],"::",Connectors[[#This Row],[TOFIELD]],"::",Connectors[[#This Row],[TOINSTANCETYPE]])</f>
        <v>UPD_trex_ofs_info_min_lkp::mod_user::Update Strategy</v>
      </c>
    </row>
    <row r="162" spans="1:9" x14ac:dyDescent="0.25">
      <c r="A162" s="25" t="str">
        <f xml:space="preserve"> MapNameLkup</f>
        <v>m_ofs_trex_ar_invoices</v>
      </c>
      <c r="B162" s="1" t="s">
        <v>99</v>
      </c>
      <c r="C162" s="1" t="s">
        <v>510</v>
      </c>
      <c r="D162" s="1" t="s">
        <v>52</v>
      </c>
      <c r="E162" s="1" t="s">
        <v>850</v>
      </c>
      <c r="F162" s="1" t="s">
        <v>867</v>
      </c>
      <c r="G162" s="1" t="s">
        <v>7</v>
      </c>
      <c r="H162" s="10" t="str">
        <f>CONCATENATE(Connectors[[#This Row],[FROMINSTANCE]],"::",Connectors[[#This Row],[FROMFIELD]],"::",Connectors[[#This Row],[FROMINSTANCETYPE]])</f>
        <v>XX_IA_INCREMENTAL_DATES::DESTINATION_SYSTEM::Source Definition</v>
      </c>
      <c r="I162" s="10" t="str">
        <f>CONCATENATE(Connectors[[#This Row],[TOINSTANCE]],"::",Connectors[[#This Row],[TOFIELD]],"::",Connectors[[#This Row],[TOINSTANCETYPE]])</f>
        <v>SQ_XX_IA_INCREMENTAL_DATES::destination_system::Source Qualifier</v>
      </c>
    </row>
    <row r="163" spans="1:9" x14ac:dyDescent="0.25">
      <c r="A163" s="25" t="str">
        <f xml:space="preserve"> MapNameLkup</f>
        <v>m_ofs_trex_ar_invoices</v>
      </c>
      <c r="B163" s="1" t="s">
        <v>99</v>
      </c>
      <c r="C163" s="1" t="s">
        <v>511</v>
      </c>
      <c r="D163" s="1" t="s">
        <v>52</v>
      </c>
      <c r="E163" s="1" t="s">
        <v>850</v>
      </c>
      <c r="F163" s="1" t="s">
        <v>868</v>
      </c>
      <c r="G163" s="1" t="s">
        <v>7</v>
      </c>
      <c r="H163" s="10" t="str">
        <f>CONCATENATE(Connectors[[#This Row],[FROMINSTANCE]],"::",Connectors[[#This Row],[FROMFIELD]],"::",Connectors[[#This Row],[FROMINSTANCETYPE]])</f>
        <v>XX_IA_INCREMENTAL_DATES::MODULE::Source Definition</v>
      </c>
      <c r="I163" s="10" t="str">
        <f>CONCATENATE(Connectors[[#This Row],[TOINSTANCE]],"::",Connectors[[#This Row],[TOFIELD]],"::",Connectors[[#This Row],[TOINSTANCETYPE]])</f>
        <v>SQ_XX_IA_INCREMENTAL_DATES::module::Source Qualifier</v>
      </c>
    </row>
    <row r="164" spans="1:9" x14ac:dyDescent="0.25">
      <c r="A164" s="25" t="str">
        <f xml:space="preserve"> MapNameLkup</f>
        <v>m_ofs_trex_ar_invoices</v>
      </c>
      <c r="B164" s="1" t="s">
        <v>850</v>
      </c>
      <c r="C164" s="1" t="s">
        <v>867</v>
      </c>
      <c r="D164" s="1" t="s">
        <v>7</v>
      </c>
      <c r="E164" s="1" t="s">
        <v>851</v>
      </c>
      <c r="F164" s="1" t="s">
        <v>867</v>
      </c>
      <c r="G164" s="1" t="s">
        <v>6</v>
      </c>
      <c r="H164" s="10" t="str">
        <f>CONCATENATE(Connectors[[#This Row],[FROMINSTANCE]],"::",Connectors[[#This Row],[FROMFIELD]],"::",Connectors[[#This Row],[FROMINSTANCETYPE]])</f>
        <v>SQ_XX_IA_INCREMENTAL_DATES::destination_system::Source Qualifier</v>
      </c>
      <c r="I164" s="10" t="str">
        <f>CONCATENATE(Connectors[[#This Row],[TOINSTANCE]],"::",Connectors[[#This Row],[TOFIELD]],"::",Connectors[[#This Row],[TOINSTANCETYPE]])</f>
        <v>EXP_XX_IA_INCREMENTAL_DATES::destination_system::Expression</v>
      </c>
    </row>
    <row r="165" spans="1:9" x14ac:dyDescent="0.25">
      <c r="A165" s="25" t="str">
        <f xml:space="preserve"> MapNameLkup</f>
        <v>m_ofs_trex_ar_invoices</v>
      </c>
      <c r="B165" s="1" t="s">
        <v>850</v>
      </c>
      <c r="C165" s="1" t="s">
        <v>868</v>
      </c>
      <c r="D165" s="1" t="s">
        <v>7</v>
      </c>
      <c r="E165" s="1" t="s">
        <v>851</v>
      </c>
      <c r="F165" s="1" t="s">
        <v>868</v>
      </c>
      <c r="G165" s="1" t="s">
        <v>6</v>
      </c>
      <c r="H165" s="10" t="str">
        <f>CONCATENATE(Connectors[[#This Row],[FROMINSTANCE]],"::",Connectors[[#This Row],[FROMFIELD]],"::",Connectors[[#This Row],[FROMINSTANCETYPE]])</f>
        <v>SQ_XX_IA_INCREMENTAL_DATES::module::Source Qualifier</v>
      </c>
      <c r="I165" s="10" t="str">
        <f>CONCATENATE(Connectors[[#This Row],[TOINSTANCE]],"::",Connectors[[#This Row],[TOFIELD]],"::",Connectors[[#This Row],[TOINSTANCETYPE]])</f>
        <v>EXP_XX_IA_INCREMENTAL_DATES::module::Expression</v>
      </c>
    </row>
    <row r="166" spans="1:9" x14ac:dyDescent="0.25">
      <c r="A166" s="25" t="str">
        <f xml:space="preserve"> MapNameLkup</f>
        <v>m_ofs_trex_ar_invoices</v>
      </c>
      <c r="B166" s="1" t="s">
        <v>851</v>
      </c>
      <c r="C166" s="1" t="s">
        <v>869</v>
      </c>
      <c r="D166" s="1" t="s">
        <v>6</v>
      </c>
      <c r="E166" s="1" t="s">
        <v>852</v>
      </c>
      <c r="F166" s="1" t="s">
        <v>869</v>
      </c>
      <c r="G166" s="1" t="s">
        <v>66</v>
      </c>
      <c r="H166" s="10" t="str">
        <f>CONCATENATE(Connectors[[#This Row],[FROMINSTANCE]],"::",Connectors[[#This Row],[FROMFIELD]],"::",Connectors[[#This Row],[FROMINSTANCETYPE]])</f>
        <v>EXP_XX_IA_INCREMENTAL_DATES::o_new_last_update_date::Expression</v>
      </c>
      <c r="I166" s="10" t="str">
        <f>CONCATENATE(Connectors[[#This Row],[TOINSTANCE]],"::",Connectors[[#This Row],[TOFIELD]],"::",Connectors[[#This Row],[TOINSTANCETYPE]])</f>
        <v>UPD_XX_IA_INCREMENTAL_DATES::o_new_last_update_date::Update Strategy</v>
      </c>
    </row>
    <row r="167" spans="1:9" x14ac:dyDescent="0.25">
      <c r="A167" s="25" t="str">
        <f xml:space="preserve"> MapNameLkup</f>
        <v>m_ofs_trex_ar_invoices</v>
      </c>
      <c r="B167" s="1" t="s">
        <v>851</v>
      </c>
      <c r="C167" s="1" t="s">
        <v>867</v>
      </c>
      <c r="D167" s="1" t="s">
        <v>6</v>
      </c>
      <c r="E167" s="1" t="s">
        <v>852</v>
      </c>
      <c r="F167" s="1" t="s">
        <v>867</v>
      </c>
      <c r="G167" s="1" t="s">
        <v>66</v>
      </c>
      <c r="H167" s="10" t="str">
        <f>CONCATENATE(Connectors[[#This Row],[FROMINSTANCE]],"::",Connectors[[#This Row],[FROMFIELD]],"::",Connectors[[#This Row],[FROMINSTANCETYPE]])</f>
        <v>EXP_XX_IA_INCREMENTAL_DATES::destination_system::Expression</v>
      </c>
      <c r="I167" s="10" t="str">
        <f>CONCATENATE(Connectors[[#This Row],[TOINSTANCE]],"::",Connectors[[#This Row],[TOFIELD]],"::",Connectors[[#This Row],[TOINSTANCETYPE]])</f>
        <v>UPD_XX_IA_INCREMENTAL_DATES::destination_system::Update Strategy</v>
      </c>
    </row>
    <row r="168" spans="1:9" x14ac:dyDescent="0.25">
      <c r="A168" s="25" t="str">
        <f xml:space="preserve"> MapNameLkup</f>
        <v>m_ofs_trex_ar_invoices</v>
      </c>
      <c r="B168" s="1" t="s">
        <v>851</v>
      </c>
      <c r="C168" s="1" t="s">
        <v>868</v>
      </c>
      <c r="D168" s="1" t="s">
        <v>6</v>
      </c>
      <c r="E168" s="1" t="s">
        <v>852</v>
      </c>
      <c r="F168" s="1" t="s">
        <v>868</v>
      </c>
      <c r="G168" s="1" t="s">
        <v>66</v>
      </c>
      <c r="H168" s="10" t="str">
        <f>CONCATENATE(Connectors[[#This Row],[FROMINSTANCE]],"::",Connectors[[#This Row],[FROMFIELD]],"::",Connectors[[#This Row],[FROMINSTANCETYPE]])</f>
        <v>EXP_XX_IA_INCREMENTAL_DATES::module::Expression</v>
      </c>
      <c r="I168" s="10" t="str">
        <f>CONCATENATE(Connectors[[#This Row],[TOINSTANCE]],"::",Connectors[[#This Row],[TOFIELD]],"::",Connectors[[#This Row],[TOINSTANCETYPE]])</f>
        <v>UPD_XX_IA_INCREMENTAL_DATES::module::Update Strategy</v>
      </c>
    </row>
    <row r="169" spans="1:9" x14ac:dyDescent="0.25">
      <c r="A169" s="25" t="str">
        <f xml:space="preserve"> MapNameLkup</f>
        <v>m_ofs_trex_ar_invoices</v>
      </c>
      <c r="B169" s="1" t="s">
        <v>857</v>
      </c>
      <c r="C169" s="1" t="s">
        <v>877</v>
      </c>
      <c r="D169" s="1" t="s">
        <v>6</v>
      </c>
      <c r="E169" s="1" t="s">
        <v>853</v>
      </c>
      <c r="F169" s="1" t="s">
        <v>877</v>
      </c>
      <c r="G169" s="1" t="s">
        <v>863</v>
      </c>
      <c r="H169" s="10" t="str">
        <f>CONCATENATE(Connectors[[#This Row],[FROMINSTANCE]],"::",Connectors[[#This Row],[FROMFIELD]],"::",Connectors[[#This Row],[FROMINSTANCETYPE]])</f>
        <v>EXP_ins_upd::o_acctd_amount_due_remaining::Expression</v>
      </c>
      <c r="I169" s="10" t="str">
        <f>CONCATENATE(Connectors[[#This Row],[TOINSTANCE]],"::",Connectors[[#This Row],[TOFIELD]],"::",Connectors[[#This Row],[TOINSTANCETYPE]])</f>
        <v>FLTR_update::o_acctd_amount_due_remaining::Filter</v>
      </c>
    </row>
    <row r="170" spans="1:9" x14ac:dyDescent="0.25">
      <c r="A170" s="25" t="str">
        <f xml:space="preserve"> MapNameLkup</f>
        <v>m_ofs_trex_ar_invoices</v>
      </c>
      <c r="B170" s="1" t="s">
        <v>857</v>
      </c>
      <c r="C170" s="1" t="s">
        <v>866</v>
      </c>
      <c r="D170" s="1" t="s">
        <v>6</v>
      </c>
      <c r="E170" s="1" t="s">
        <v>853</v>
      </c>
      <c r="F170" s="1" t="s">
        <v>866</v>
      </c>
      <c r="G170" s="1" t="s">
        <v>863</v>
      </c>
      <c r="H170" s="10" t="str">
        <f>CONCATENATE(Connectors[[#This Row],[FROMINSTANCE]],"::",Connectors[[#This Row],[FROMFIELD]],"::",Connectors[[#This Row],[FROMINSTANCETYPE]])</f>
        <v>EXP_ins_upd::session_start_time::Expression</v>
      </c>
      <c r="I170" s="10" t="str">
        <f>CONCATENATE(Connectors[[#This Row],[TOINSTANCE]],"::",Connectors[[#This Row],[TOFIELD]],"::",Connectors[[#This Row],[TOINSTANCETYPE]])</f>
        <v>FLTR_update::session_start_time::Filter</v>
      </c>
    </row>
    <row r="171" spans="1:9" x14ac:dyDescent="0.25">
      <c r="A171" s="25" t="str">
        <f xml:space="preserve"> MapNameLkup</f>
        <v>m_ofs_trex_ar_invoices</v>
      </c>
      <c r="B171" s="1" t="s">
        <v>857</v>
      </c>
      <c r="C171" s="1" t="s">
        <v>883</v>
      </c>
      <c r="D171" s="1" t="s">
        <v>6</v>
      </c>
      <c r="E171" s="1" t="s">
        <v>853</v>
      </c>
      <c r="F171" s="1" t="s">
        <v>112</v>
      </c>
      <c r="G171" s="1" t="s">
        <v>863</v>
      </c>
      <c r="H171" s="10" t="str">
        <f>CONCATENATE(Connectors[[#This Row],[FROMINSTANCE]],"::",Connectors[[#This Row],[FROMFIELD]],"::",Connectors[[#This Row],[FROMINSTANCETYPE]])</f>
        <v>EXP_ins_upd::lkp_invoice_rec_id::Expression</v>
      </c>
      <c r="I171" s="10" t="str">
        <f>CONCATENATE(Connectors[[#This Row],[TOINSTANCE]],"::",Connectors[[#This Row],[TOFIELD]],"::",Connectors[[#This Row],[TOINSTANCETYPE]])</f>
        <v>FLTR_update::invoice_rec_id::Filter</v>
      </c>
    </row>
    <row r="172" spans="1:9" x14ac:dyDescent="0.25">
      <c r="A172" s="25" t="str">
        <f xml:space="preserve"> MapNameLkup</f>
        <v>m_ofs_trex_ar_invoices</v>
      </c>
      <c r="B172" s="1" t="s">
        <v>857</v>
      </c>
      <c r="C172" s="1" t="s">
        <v>129</v>
      </c>
      <c r="D172" s="1" t="s">
        <v>6</v>
      </c>
      <c r="E172" s="1" t="s">
        <v>853</v>
      </c>
      <c r="F172" s="1" t="s">
        <v>129</v>
      </c>
      <c r="G172" s="1" t="s">
        <v>863</v>
      </c>
      <c r="H172" s="10" t="str">
        <f>CONCATENATE(Connectors[[#This Row],[FROMINSTANCE]],"::",Connectors[[#This Row],[FROMFIELD]],"::",Connectors[[#This Row],[FROMINSTANCETYPE]])</f>
        <v>EXP_ins_upd::offset_nat_acct_no::Expression</v>
      </c>
      <c r="I172" s="10" t="str">
        <f>CONCATENATE(Connectors[[#This Row],[TOINSTANCE]],"::",Connectors[[#This Row],[TOFIELD]],"::",Connectors[[#This Row],[TOINSTANCETYPE]])</f>
        <v>FLTR_update::offset_nat_acct_no::Filter</v>
      </c>
    </row>
    <row r="173" spans="1:9" x14ac:dyDescent="0.25">
      <c r="A173" s="25" t="str">
        <f xml:space="preserve"> MapNameLkup</f>
        <v>m_ofs_trex_ar_invoices</v>
      </c>
      <c r="B173" s="1" t="s">
        <v>857</v>
      </c>
      <c r="C173" s="1" t="s">
        <v>115</v>
      </c>
      <c r="D173" s="1" t="s">
        <v>6</v>
      </c>
      <c r="E173" s="1" t="s">
        <v>853</v>
      </c>
      <c r="F173" s="1" t="s">
        <v>115</v>
      </c>
      <c r="G173" s="1" t="s">
        <v>863</v>
      </c>
      <c r="H173" s="10" t="str">
        <f>CONCATENATE(Connectors[[#This Row],[FROMINSTANCE]],"::",Connectors[[#This Row],[FROMFIELD]],"::",Connectors[[#This Row],[FROMINSTANCETYPE]])</f>
        <v>EXP_ins_upd::batch_id::Expression</v>
      </c>
      <c r="I173" s="10" t="str">
        <f>CONCATENATE(Connectors[[#This Row],[TOINSTANCE]],"::",Connectors[[#This Row],[TOFIELD]],"::",Connectors[[#This Row],[TOINSTANCETYPE]])</f>
        <v>FLTR_update::batch_id::Filter</v>
      </c>
    </row>
    <row r="174" spans="1:9" x14ac:dyDescent="0.25">
      <c r="A174" s="25" t="str">
        <f xml:space="preserve"> MapNameLkup</f>
        <v>m_ofs_trex_ar_invoices</v>
      </c>
      <c r="B174" s="1" t="s">
        <v>857</v>
      </c>
      <c r="C174" s="1" t="s">
        <v>113</v>
      </c>
      <c r="D174" s="1" t="s">
        <v>6</v>
      </c>
      <c r="E174" s="1" t="s">
        <v>853</v>
      </c>
      <c r="F174" s="1" t="s">
        <v>113</v>
      </c>
      <c r="G174" s="1" t="s">
        <v>863</v>
      </c>
      <c r="H174" s="10" t="str">
        <f>CONCATENATE(Connectors[[#This Row],[FROMINSTANCE]],"::",Connectors[[#This Row],[FROMFIELD]],"::",Connectors[[#This Row],[FROMINSTANCETYPE]])</f>
        <v>EXP_ins_upd::etl_trans_id::Expression</v>
      </c>
      <c r="I174" s="10" t="str">
        <f>CONCATENATE(Connectors[[#This Row],[TOINSTANCE]],"::",Connectors[[#This Row],[TOFIELD]],"::",Connectors[[#This Row],[TOINSTANCETYPE]])</f>
        <v>FLTR_update::etl_trans_id::Filter</v>
      </c>
    </row>
    <row r="175" spans="1:9" x14ac:dyDescent="0.25">
      <c r="A175" s="25" t="str">
        <f xml:space="preserve"> MapNameLkup</f>
        <v>m_ofs_trex_ar_invoices</v>
      </c>
      <c r="B175" s="1" t="s">
        <v>857</v>
      </c>
      <c r="C175" s="1" t="s">
        <v>114</v>
      </c>
      <c r="D175" s="1" t="s">
        <v>6</v>
      </c>
      <c r="E175" s="1" t="s">
        <v>853</v>
      </c>
      <c r="F175" s="1" t="s">
        <v>114</v>
      </c>
      <c r="G175" s="1" t="s">
        <v>863</v>
      </c>
      <c r="H175" s="10" t="str">
        <f>CONCATENATE(Connectors[[#This Row],[FROMINSTANCE]],"::",Connectors[[#This Row],[FROMFIELD]],"::",Connectors[[#This Row],[FROMINSTANCETYPE]])</f>
        <v>EXP_ins_upd::extn_sys_cd::Expression</v>
      </c>
      <c r="I175" s="10" t="str">
        <f>CONCATENATE(Connectors[[#This Row],[TOINSTANCE]],"::",Connectors[[#This Row],[TOFIELD]],"::",Connectors[[#This Row],[TOINSTANCETYPE]])</f>
        <v>FLTR_update::extn_sys_cd::Filter</v>
      </c>
    </row>
    <row r="176" spans="1:9" x14ac:dyDescent="0.25">
      <c r="A176" s="25" t="str">
        <f xml:space="preserve"> MapNameLkup</f>
        <v>m_ofs_trex_ar_invoices</v>
      </c>
      <c r="B176" s="1" t="s">
        <v>857</v>
      </c>
      <c r="C176" s="1" t="s">
        <v>116</v>
      </c>
      <c r="D176" s="1" t="s">
        <v>6</v>
      </c>
      <c r="E176" s="1" t="s">
        <v>853</v>
      </c>
      <c r="F176" s="1" t="s">
        <v>116</v>
      </c>
      <c r="G176" s="1" t="s">
        <v>863</v>
      </c>
      <c r="H176" s="10" t="str">
        <f>CONCATENATE(Connectors[[#This Row],[FROMINSTANCE]],"::",Connectors[[#This Row],[FROMFIELD]],"::",Connectors[[#This Row],[FROMINSTANCETYPE]])</f>
        <v>EXP_ins_upd::batch_name::Expression</v>
      </c>
      <c r="I176" s="10" t="str">
        <f>CONCATENATE(Connectors[[#This Row],[TOINSTANCE]],"::",Connectors[[#This Row],[TOFIELD]],"::",Connectors[[#This Row],[TOINSTANCETYPE]])</f>
        <v>FLTR_update::batch_name::Filter</v>
      </c>
    </row>
    <row r="177" spans="1:9" x14ac:dyDescent="0.25">
      <c r="A177" s="25" t="str">
        <f xml:space="preserve"> MapNameLkup</f>
        <v>m_ofs_trex_ar_invoices</v>
      </c>
      <c r="B177" s="1" t="s">
        <v>857</v>
      </c>
      <c r="C177" s="1" t="s">
        <v>870</v>
      </c>
      <c r="D177" s="1" t="s">
        <v>6</v>
      </c>
      <c r="E177" s="1" t="s">
        <v>853</v>
      </c>
      <c r="F177" s="1" t="s">
        <v>870</v>
      </c>
      <c r="G177" s="1" t="s">
        <v>863</v>
      </c>
      <c r="H177" s="10" t="str">
        <f>CONCATENATE(Connectors[[#This Row],[FROMINSTANCE]],"::",Connectors[[#This Row],[FROMFIELD]],"::",Connectors[[#This Row],[FROMINSTANCETYPE]])</f>
        <v>EXP_ins_upd::o_org_id::Expression</v>
      </c>
      <c r="I177" s="10" t="str">
        <f>CONCATENATE(Connectors[[#This Row],[TOINSTANCE]],"::",Connectors[[#This Row],[TOFIELD]],"::",Connectors[[#This Row],[TOINSTANCETYPE]])</f>
        <v>FLTR_update::o_org_id::Filter</v>
      </c>
    </row>
    <row r="178" spans="1:9" x14ac:dyDescent="0.25">
      <c r="A178" s="25" t="str">
        <f xml:space="preserve"> MapNameLkup</f>
        <v>m_ofs_trex_ar_invoices</v>
      </c>
      <c r="B178" s="1" t="s">
        <v>857</v>
      </c>
      <c r="C178" s="1" t="s">
        <v>120</v>
      </c>
      <c r="D178" s="1" t="s">
        <v>6</v>
      </c>
      <c r="E178" s="1" t="s">
        <v>853</v>
      </c>
      <c r="F178" s="1" t="s">
        <v>120</v>
      </c>
      <c r="G178" s="1" t="s">
        <v>863</v>
      </c>
      <c r="H178" s="10" t="str">
        <f>CONCATENATE(Connectors[[#This Row],[FROMINSTANCE]],"::",Connectors[[#This Row],[FROMFIELD]],"::",Connectors[[#This Row],[FROMINSTANCETYPE]])</f>
        <v>EXP_ins_upd::company_description::Expression</v>
      </c>
      <c r="I178" s="10" t="str">
        <f>CONCATENATE(Connectors[[#This Row],[TOINSTANCE]],"::",Connectors[[#This Row],[TOFIELD]],"::",Connectors[[#This Row],[TOINSTANCETYPE]])</f>
        <v>FLTR_update::company_description::Filter</v>
      </c>
    </row>
    <row r="179" spans="1:9" x14ac:dyDescent="0.25">
      <c r="A179" s="25" t="str">
        <f xml:space="preserve"> MapNameLkup</f>
        <v>m_ofs_trex_ar_invoices</v>
      </c>
      <c r="B179" s="1" t="s">
        <v>857</v>
      </c>
      <c r="C179" s="1" t="s">
        <v>121</v>
      </c>
      <c r="D179" s="1" t="s">
        <v>6</v>
      </c>
      <c r="E179" s="1" t="s">
        <v>853</v>
      </c>
      <c r="F179" s="1" t="s">
        <v>121</v>
      </c>
      <c r="G179" s="1" t="s">
        <v>863</v>
      </c>
      <c r="H179" s="10" t="str">
        <f>CONCATENATE(Connectors[[#This Row],[FROMINSTANCE]],"::",Connectors[[#This Row],[FROMFIELD]],"::",Connectors[[#This Row],[FROMINSTANCETYPE]])</f>
        <v>EXP_ins_upd::account_number::Expression</v>
      </c>
      <c r="I179" s="10" t="str">
        <f>CONCATENATE(Connectors[[#This Row],[TOINSTANCE]],"::",Connectors[[#This Row],[TOFIELD]],"::",Connectors[[#This Row],[TOINSTANCETYPE]])</f>
        <v>FLTR_update::account_number::Filter</v>
      </c>
    </row>
    <row r="180" spans="1:9" x14ac:dyDescent="0.25">
      <c r="A180" s="25" t="str">
        <f xml:space="preserve"> MapNameLkup</f>
        <v>m_ofs_trex_ar_invoices</v>
      </c>
      <c r="B180" s="1" t="s">
        <v>857</v>
      </c>
      <c r="C180" s="1" t="s">
        <v>122</v>
      </c>
      <c r="D180" s="1" t="s">
        <v>6</v>
      </c>
      <c r="E180" s="1" t="s">
        <v>853</v>
      </c>
      <c r="F180" s="1" t="s">
        <v>122</v>
      </c>
      <c r="G180" s="1" t="s">
        <v>863</v>
      </c>
      <c r="H180" s="10" t="str">
        <f>CONCATENATE(Connectors[[#This Row],[FROMINSTANCE]],"::",Connectors[[#This Row],[FROMFIELD]],"::",Connectors[[#This Row],[FROMINSTANCETYPE]])</f>
        <v>EXP_ins_upd::party_name::Expression</v>
      </c>
      <c r="I180" s="10" t="str">
        <f>CONCATENATE(Connectors[[#This Row],[TOINSTANCE]],"::",Connectors[[#This Row],[TOFIELD]],"::",Connectors[[#This Row],[TOINSTANCETYPE]])</f>
        <v>FLTR_update::party_name::Filter</v>
      </c>
    </row>
    <row r="181" spans="1:9" x14ac:dyDescent="0.25">
      <c r="A181" s="25" t="str">
        <f xml:space="preserve"> MapNameLkup</f>
        <v>m_ofs_trex_ar_invoices</v>
      </c>
      <c r="B181" s="1" t="s">
        <v>857</v>
      </c>
      <c r="C181" s="1" t="s">
        <v>872</v>
      </c>
      <c r="D181" s="1" t="s">
        <v>6</v>
      </c>
      <c r="E181" s="1" t="s">
        <v>853</v>
      </c>
      <c r="F181" s="1" t="s">
        <v>872</v>
      </c>
      <c r="G181" s="1" t="s">
        <v>863</v>
      </c>
      <c r="H181" s="10" t="str">
        <f>CONCATENATE(Connectors[[#This Row],[FROMINSTANCE]],"::",Connectors[[#This Row],[FROMFIELD]],"::",Connectors[[#This Row],[FROMINSTANCETYPE]])</f>
        <v>EXP_ins_upd::o_customer_trx_id::Expression</v>
      </c>
      <c r="I181" s="10" t="str">
        <f>CONCATENATE(Connectors[[#This Row],[TOINSTANCE]],"::",Connectors[[#This Row],[TOFIELD]],"::",Connectors[[#This Row],[TOINSTANCETYPE]])</f>
        <v>FLTR_update::o_customer_trx_id::Filter</v>
      </c>
    </row>
    <row r="182" spans="1:9" x14ac:dyDescent="0.25">
      <c r="A182" s="25" t="str">
        <f xml:space="preserve"> MapNameLkup</f>
        <v>m_ofs_trex_ar_invoices</v>
      </c>
      <c r="B182" s="1" t="s">
        <v>857</v>
      </c>
      <c r="C182" s="1" t="s">
        <v>124</v>
      </c>
      <c r="D182" s="1" t="s">
        <v>6</v>
      </c>
      <c r="E182" s="1" t="s">
        <v>853</v>
      </c>
      <c r="F182" s="1" t="s">
        <v>124</v>
      </c>
      <c r="G182" s="1" t="s">
        <v>863</v>
      </c>
      <c r="H182" s="10" t="str">
        <f>CONCATENATE(Connectors[[#This Row],[FROMINSTANCE]],"::",Connectors[[#This Row],[FROMFIELD]],"::",Connectors[[#This Row],[FROMINSTANCETYPE]])</f>
        <v>EXP_ins_upd::invoice_number::Expression</v>
      </c>
      <c r="I182" s="10" t="str">
        <f>CONCATENATE(Connectors[[#This Row],[TOINSTANCE]],"::",Connectors[[#This Row],[TOFIELD]],"::",Connectors[[#This Row],[TOINSTANCETYPE]])</f>
        <v>FLTR_update::invoice_number::Filter</v>
      </c>
    </row>
    <row r="183" spans="1:9" x14ac:dyDescent="0.25">
      <c r="A183" s="25" t="str">
        <f xml:space="preserve"> MapNameLkup</f>
        <v>m_ofs_trex_ar_invoices</v>
      </c>
      <c r="B183" s="1" t="s">
        <v>857</v>
      </c>
      <c r="C183" s="1" t="s">
        <v>125</v>
      </c>
      <c r="D183" s="1" t="s">
        <v>6</v>
      </c>
      <c r="E183" s="1" t="s">
        <v>853</v>
      </c>
      <c r="F183" s="1" t="s">
        <v>125</v>
      </c>
      <c r="G183" s="1" t="s">
        <v>863</v>
      </c>
      <c r="H183" s="10" t="str">
        <f>CONCATENATE(Connectors[[#This Row],[FROMINSTANCE]],"::",Connectors[[#This Row],[FROMFIELD]],"::",Connectors[[#This Row],[FROMINSTANCETYPE]])</f>
        <v>EXP_ins_upd::kme_ar_inv_no::Expression</v>
      </c>
      <c r="I183" s="10" t="str">
        <f>CONCATENATE(Connectors[[#This Row],[TOINSTANCE]],"::",Connectors[[#This Row],[TOFIELD]],"::",Connectors[[#This Row],[TOINSTANCETYPE]])</f>
        <v>FLTR_update::kme_ar_inv_no::Filter</v>
      </c>
    </row>
    <row r="184" spans="1:9" x14ac:dyDescent="0.25">
      <c r="A184" s="25" t="str">
        <f xml:space="preserve"> MapNameLkup</f>
        <v>m_ofs_trex_ar_invoices</v>
      </c>
      <c r="B184" s="1" t="s">
        <v>857</v>
      </c>
      <c r="C184" s="1" t="s">
        <v>126</v>
      </c>
      <c r="D184" s="1" t="s">
        <v>6</v>
      </c>
      <c r="E184" s="1" t="s">
        <v>853</v>
      </c>
      <c r="F184" s="1" t="s">
        <v>126</v>
      </c>
      <c r="G184" s="1" t="s">
        <v>863</v>
      </c>
      <c r="H184" s="10" t="str">
        <f>CONCATENATE(Connectors[[#This Row],[FROMINSTANCE]],"::",Connectors[[#This Row],[FROMFIELD]],"::",Connectors[[#This Row],[FROMINSTANCETYPE]])</f>
        <v>EXP_ins_upd::kme_ar_inv_amd_no::Expression</v>
      </c>
      <c r="I184" s="10" t="str">
        <f>CONCATENATE(Connectors[[#This Row],[TOINSTANCE]],"::",Connectors[[#This Row],[TOFIELD]],"::",Connectors[[#This Row],[TOINSTANCETYPE]])</f>
        <v>FLTR_update::kme_ar_inv_amd_no::Filter</v>
      </c>
    </row>
    <row r="185" spans="1:9" x14ac:dyDescent="0.25">
      <c r="A185" s="25" t="str">
        <f xml:space="preserve"> MapNameLkup</f>
        <v>m_ofs_trex_ar_invoices</v>
      </c>
      <c r="B185" s="1" t="s">
        <v>857</v>
      </c>
      <c r="C185" s="1" t="s">
        <v>127</v>
      </c>
      <c r="D185" s="1" t="s">
        <v>6</v>
      </c>
      <c r="E185" s="1" t="s">
        <v>853</v>
      </c>
      <c r="F185" s="1" t="s">
        <v>127</v>
      </c>
      <c r="G185" s="1" t="s">
        <v>863</v>
      </c>
      <c r="H185" s="10" t="str">
        <f>CONCATENATE(Connectors[[#This Row],[FROMINSTANCE]],"::",Connectors[[#This Row],[FROMFIELD]],"::",Connectors[[#This Row],[FROMINSTANCETYPE]])</f>
        <v>EXP_ins_upd::invoice_date::Expression</v>
      </c>
      <c r="I185" s="10" t="str">
        <f>CONCATENATE(Connectors[[#This Row],[TOINSTANCE]],"::",Connectors[[#This Row],[TOFIELD]],"::",Connectors[[#This Row],[TOINSTANCETYPE]])</f>
        <v>FLTR_update::invoice_date::Filter</v>
      </c>
    </row>
    <row r="186" spans="1:9" x14ac:dyDescent="0.25">
      <c r="A186" s="25" t="str">
        <f xml:space="preserve"> MapNameLkup</f>
        <v>m_ofs_trex_ar_invoices</v>
      </c>
      <c r="B186" s="1" t="s">
        <v>857</v>
      </c>
      <c r="C186" s="1" t="s">
        <v>130</v>
      </c>
      <c r="D186" s="1" t="s">
        <v>6</v>
      </c>
      <c r="E186" s="1" t="s">
        <v>853</v>
      </c>
      <c r="F186" s="1" t="s">
        <v>130</v>
      </c>
      <c r="G186" s="1" t="s">
        <v>863</v>
      </c>
      <c r="H186" s="10" t="str">
        <f>CONCATENATE(Connectors[[#This Row],[FROMINSTANCE]],"::",Connectors[[#This Row],[FROMFIELD]],"::",Connectors[[#This Row],[FROMINSTANCETYPE]])</f>
        <v>EXP_ins_upd::transaction_type::Expression</v>
      </c>
      <c r="I186" s="10" t="str">
        <f>CONCATENATE(Connectors[[#This Row],[TOINSTANCE]],"::",Connectors[[#This Row],[TOFIELD]],"::",Connectors[[#This Row],[TOINSTANCETYPE]])</f>
        <v>FLTR_update::transaction_type::Filter</v>
      </c>
    </row>
    <row r="187" spans="1:9" x14ac:dyDescent="0.25">
      <c r="A187" s="25" t="str">
        <f xml:space="preserve"> MapNameLkup</f>
        <v>m_ofs_trex_ar_invoices</v>
      </c>
      <c r="B187" s="1" t="s">
        <v>857</v>
      </c>
      <c r="C187" s="1" t="s">
        <v>144</v>
      </c>
      <c r="D187" s="1" t="s">
        <v>6</v>
      </c>
      <c r="E187" s="1" t="s">
        <v>853</v>
      </c>
      <c r="F187" s="1" t="s">
        <v>144</v>
      </c>
      <c r="G187" s="1" t="s">
        <v>863</v>
      </c>
      <c r="H187" s="10" t="str">
        <f>CONCATENATE(Connectors[[#This Row],[FROMINSTANCE]],"::",Connectors[[#This Row],[FROMFIELD]],"::",Connectors[[#This Row],[FROMINSTANCETYPE]])</f>
        <v>EXP_ins_upd::invoice_gl_posted_date::Expression</v>
      </c>
      <c r="I187" s="10" t="str">
        <f>CONCATENATE(Connectors[[#This Row],[TOINSTANCE]],"::",Connectors[[#This Row],[TOFIELD]],"::",Connectors[[#This Row],[TOINSTANCETYPE]])</f>
        <v>FLTR_update::invoice_gl_posted_date::Filter</v>
      </c>
    </row>
    <row r="188" spans="1:9" x14ac:dyDescent="0.25">
      <c r="A188" s="25" t="str">
        <f xml:space="preserve"> MapNameLkup</f>
        <v>m_ofs_trex_ar_invoices</v>
      </c>
      <c r="B188" s="1" t="s">
        <v>857</v>
      </c>
      <c r="C188" s="1" t="s">
        <v>145</v>
      </c>
      <c r="D188" s="1" t="s">
        <v>6</v>
      </c>
      <c r="E188" s="1" t="s">
        <v>853</v>
      </c>
      <c r="F188" s="1" t="s">
        <v>145</v>
      </c>
      <c r="G188" s="1" t="s">
        <v>863</v>
      </c>
      <c r="H188" s="10" t="str">
        <f>CONCATENATE(Connectors[[#This Row],[FROMINSTANCE]],"::",Connectors[[#This Row],[FROMFIELD]],"::",Connectors[[#This Row],[FROMINSTANCETYPE]])</f>
        <v>EXP_ins_upd::invoice_gl_date::Expression</v>
      </c>
      <c r="I188" s="10" t="str">
        <f>CONCATENATE(Connectors[[#This Row],[TOINSTANCE]],"::",Connectors[[#This Row],[TOFIELD]],"::",Connectors[[#This Row],[TOINSTANCETYPE]])</f>
        <v>FLTR_update::invoice_gl_date::Filter</v>
      </c>
    </row>
    <row r="189" spans="1:9" x14ac:dyDescent="0.25">
      <c r="A189" s="25" t="str">
        <f xml:space="preserve"> MapNameLkup</f>
        <v>m_ofs_trex_ar_invoices</v>
      </c>
      <c r="B189" s="1" t="s">
        <v>857</v>
      </c>
      <c r="C189" s="1" t="s">
        <v>873</v>
      </c>
      <c r="D189" s="1" t="s">
        <v>6</v>
      </c>
      <c r="E189" s="1" t="s">
        <v>853</v>
      </c>
      <c r="F189" s="1" t="s">
        <v>873</v>
      </c>
      <c r="G189" s="1" t="s">
        <v>863</v>
      </c>
      <c r="H189" s="10" t="str">
        <f>CONCATENATE(Connectors[[#This Row],[FROMINSTANCE]],"::",Connectors[[#This Row],[FROMFIELD]],"::",Connectors[[#This Row],[FROMINSTANCETYPE]])</f>
        <v>EXP_ins_upd::o_acctd_amount::Expression</v>
      </c>
      <c r="I189" s="10" t="str">
        <f>CONCATENATE(Connectors[[#This Row],[TOINSTANCE]],"::",Connectors[[#This Row],[TOFIELD]],"::",Connectors[[#This Row],[TOINSTANCETYPE]])</f>
        <v>FLTR_update::o_acctd_amount::Filter</v>
      </c>
    </row>
    <row r="190" spans="1:9" x14ac:dyDescent="0.25">
      <c r="A190" s="25" t="str">
        <f xml:space="preserve"> MapNameLkup</f>
        <v>m_ofs_trex_ar_invoices</v>
      </c>
      <c r="B190" s="1" t="s">
        <v>857</v>
      </c>
      <c r="C190" s="1" t="s">
        <v>876</v>
      </c>
      <c r="D190" s="1" t="s">
        <v>6</v>
      </c>
      <c r="E190" s="1" t="s">
        <v>853</v>
      </c>
      <c r="F190" s="1" t="s">
        <v>876</v>
      </c>
      <c r="G190" s="1" t="s">
        <v>863</v>
      </c>
      <c r="H190" s="10" t="str">
        <f>CONCATENATE(Connectors[[#This Row],[FROMINSTANCE]],"::",Connectors[[#This Row],[FROMFIELD]],"::",Connectors[[#This Row],[FROMINSTANCETYPE]])</f>
        <v>EXP_ins_upd::o_amount_applied::Expression</v>
      </c>
      <c r="I190" s="10" t="str">
        <f>CONCATENATE(Connectors[[#This Row],[TOINSTANCE]],"::",Connectors[[#This Row],[TOFIELD]],"::",Connectors[[#This Row],[TOINSTANCETYPE]])</f>
        <v>FLTR_update::o_amount_applied::Filter</v>
      </c>
    </row>
    <row r="191" spans="1:9" x14ac:dyDescent="0.25">
      <c r="A191" s="25" t="str">
        <f xml:space="preserve"> MapNameLkup</f>
        <v>m_ofs_trex_ar_invoices</v>
      </c>
      <c r="B191" s="1" t="s">
        <v>857</v>
      </c>
      <c r="C191" s="1" t="s">
        <v>878</v>
      </c>
      <c r="D191" s="1" t="s">
        <v>6</v>
      </c>
      <c r="E191" s="1" t="s">
        <v>853</v>
      </c>
      <c r="F191" s="1" t="s">
        <v>878</v>
      </c>
      <c r="G191" s="1" t="s">
        <v>863</v>
      </c>
      <c r="H191" s="10" t="str">
        <f>CONCATENATE(Connectors[[#This Row],[FROMINSTANCE]],"::",Connectors[[#This Row],[FROMFIELD]],"::",Connectors[[#This Row],[FROMINSTANCETYPE]])</f>
        <v>EXP_ins_upd::o_amount_due_remaining::Expression</v>
      </c>
      <c r="I191" s="10" t="str">
        <f>CONCATENATE(Connectors[[#This Row],[TOINSTANCE]],"::",Connectors[[#This Row],[TOFIELD]],"::",Connectors[[#This Row],[TOINSTANCETYPE]])</f>
        <v>FLTR_update::o_amount_due_remaining::Filter</v>
      </c>
    </row>
    <row r="192" spans="1:9" x14ac:dyDescent="0.25">
      <c r="A192" s="25" t="str">
        <f xml:space="preserve"> MapNameLkup</f>
        <v>m_ofs_trex_ar_invoices</v>
      </c>
      <c r="B192" s="1" t="s">
        <v>857</v>
      </c>
      <c r="C192" s="1" t="s">
        <v>137</v>
      </c>
      <c r="D192" s="1" t="s">
        <v>6</v>
      </c>
      <c r="E192" s="1" t="s">
        <v>853</v>
      </c>
      <c r="F192" s="1" t="s">
        <v>137</v>
      </c>
      <c r="G192" s="1" t="s">
        <v>863</v>
      </c>
      <c r="H192" s="10" t="str">
        <f>CONCATENATE(Connectors[[#This Row],[FROMINSTANCE]],"::",Connectors[[#This Row],[FROMFIELD]],"::",Connectors[[#This Row],[FROMINSTANCETYPE]])</f>
        <v>EXP_ins_upd::currency_code::Expression</v>
      </c>
      <c r="I192" s="10" t="str">
        <f>CONCATENATE(Connectors[[#This Row],[TOINSTANCE]],"::",Connectors[[#This Row],[TOFIELD]],"::",Connectors[[#This Row],[TOINSTANCETYPE]])</f>
        <v>FLTR_update::currency_code::Filter</v>
      </c>
    </row>
    <row r="193" spans="1:9" x14ac:dyDescent="0.25">
      <c r="A193" s="25" t="str">
        <f xml:space="preserve"> MapNameLkup</f>
        <v>m_ofs_trex_ar_invoices</v>
      </c>
      <c r="B193" s="1" t="s">
        <v>857</v>
      </c>
      <c r="C193" s="1" t="s">
        <v>138</v>
      </c>
      <c r="D193" s="1" t="s">
        <v>6</v>
      </c>
      <c r="E193" s="1" t="s">
        <v>853</v>
      </c>
      <c r="F193" s="1" t="s">
        <v>138</v>
      </c>
      <c r="G193" s="1" t="s">
        <v>863</v>
      </c>
      <c r="H193" s="10" t="str">
        <f>CONCATENATE(Connectors[[#This Row],[FROMINSTANCE]],"::",Connectors[[#This Row],[FROMFIELD]],"::",Connectors[[#This Row],[FROMINSTANCETYPE]])</f>
        <v>EXP_ins_upd::payment_terms::Expression</v>
      </c>
      <c r="I193" s="10" t="str">
        <f>CONCATENATE(Connectors[[#This Row],[TOINSTANCE]],"::",Connectors[[#This Row],[TOFIELD]],"::",Connectors[[#This Row],[TOINSTANCETYPE]])</f>
        <v>FLTR_update::payment_terms::Filter</v>
      </c>
    </row>
    <row r="194" spans="1:9" x14ac:dyDescent="0.25">
      <c r="A194" s="25" t="str">
        <f xml:space="preserve"> MapNameLkup</f>
        <v>m_ofs_trex_ar_invoices</v>
      </c>
      <c r="B194" s="1" t="s">
        <v>857</v>
      </c>
      <c r="C194" s="1" t="s">
        <v>140</v>
      </c>
      <c r="D194" s="1" t="s">
        <v>6</v>
      </c>
      <c r="E194" s="1" t="s">
        <v>853</v>
      </c>
      <c r="F194" s="1" t="s">
        <v>140</v>
      </c>
      <c r="G194" s="1" t="s">
        <v>863</v>
      </c>
      <c r="H194" s="10" t="str">
        <f>CONCATENATE(Connectors[[#This Row],[FROMINSTANCE]],"::",Connectors[[#This Row],[FROMFIELD]],"::",Connectors[[#This Row],[FROMINSTANCETYPE]])</f>
        <v>EXP_ins_upd::created_by::Expression</v>
      </c>
      <c r="I194" s="10" t="str">
        <f>CONCATENATE(Connectors[[#This Row],[TOINSTANCE]],"::",Connectors[[#This Row],[TOFIELD]],"::",Connectors[[#This Row],[TOINSTANCETYPE]])</f>
        <v>FLTR_update::created_by::Filter</v>
      </c>
    </row>
    <row r="195" spans="1:9" x14ac:dyDescent="0.25">
      <c r="A195" s="25" t="str">
        <f xml:space="preserve"> MapNameLkup</f>
        <v>m_ofs_trex_ar_invoices</v>
      </c>
      <c r="B195" s="1" t="s">
        <v>857</v>
      </c>
      <c r="C195" s="1" t="s">
        <v>141</v>
      </c>
      <c r="D195" s="1" t="s">
        <v>6</v>
      </c>
      <c r="E195" s="1" t="s">
        <v>853</v>
      </c>
      <c r="F195" s="1" t="s">
        <v>141</v>
      </c>
      <c r="G195" s="1" t="s">
        <v>863</v>
      </c>
      <c r="H195" s="10" t="str">
        <f>CONCATENATE(Connectors[[#This Row],[FROMINSTANCE]],"::",Connectors[[#This Row],[FROMFIELD]],"::",Connectors[[#This Row],[FROMINSTANCETYPE]])</f>
        <v>EXP_ins_upd::last_updated_by::Expression</v>
      </c>
      <c r="I195" s="10" t="str">
        <f>CONCATENATE(Connectors[[#This Row],[TOINSTANCE]],"::",Connectors[[#This Row],[TOFIELD]],"::",Connectors[[#This Row],[TOINSTANCETYPE]])</f>
        <v>FLTR_update::last_updated_by::Filter</v>
      </c>
    </row>
    <row r="196" spans="1:9" x14ac:dyDescent="0.25">
      <c r="A196" s="25" t="str">
        <f xml:space="preserve"> MapNameLkup</f>
        <v>m_ofs_trex_ar_invoices</v>
      </c>
      <c r="B196" s="1" t="s">
        <v>853</v>
      </c>
      <c r="C196" s="1" t="s">
        <v>119</v>
      </c>
      <c r="D196" s="1" t="s">
        <v>863</v>
      </c>
      <c r="E196" s="1" t="s">
        <v>854</v>
      </c>
      <c r="F196" s="1" t="s">
        <v>119</v>
      </c>
      <c r="G196" s="1" t="s">
        <v>66</v>
      </c>
      <c r="H196" s="10" t="str">
        <f>CONCATENATE(Connectors[[#This Row],[FROMINSTANCE]],"::",Connectors[[#This Row],[FROMFIELD]],"::",Connectors[[#This Row],[FROMINSTANCETYPE]])</f>
        <v>FLTR_update::company::Filter</v>
      </c>
      <c r="I196" s="10" t="str">
        <f>CONCATENATE(Connectors[[#This Row],[TOINSTANCE]],"::",Connectors[[#This Row],[TOFIELD]],"::",Connectors[[#This Row],[TOINSTANCETYPE]])</f>
        <v>UPD_ofs_ar_invoices_update::company::Update Strategy</v>
      </c>
    </row>
    <row r="197" spans="1:9" x14ac:dyDescent="0.25">
      <c r="A197" s="25" t="str">
        <f xml:space="preserve"> MapNameLkup</f>
        <v>m_ofs_trex_ar_invoices</v>
      </c>
      <c r="B197" s="1" t="s">
        <v>853</v>
      </c>
      <c r="C197" s="1" t="s">
        <v>120</v>
      </c>
      <c r="D197" s="1" t="s">
        <v>863</v>
      </c>
      <c r="E197" s="1" t="s">
        <v>854</v>
      </c>
      <c r="F197" s="1" t="s">
        <v>120</v>
      </c>
      <c r="G197" s="1" t="s">
        <v>66</v>
      </c>
      <c r="H197" s="10" t="str">
        <f>CONCATENATE(Connectors[[#This Row],[FROMINSTANCE]],"::",Connectors[[#This Row],[FROMFIELD]],"::",Connectors[[#This Row],[FROMINSTANCETYPE]])</f>
        <v>FLTR_update::company_description::Filter</v>
      </c>
      <c r="I197" s="10" t="str">
        <f>CONCATENATE(Connectors[[#This Row],[TOINSTANCE]],"::",Connectors[[#This Row],[TOFIELD]],"::",Connectors[[#This Row],[TOINSTANCETYPE]])</f>
        <v>UPD_ofs_ar_invoices_update::company_description::Update Strategy</v>
      </c>
    </row>
    <row r="198" spans="1:9" x14ac:dyDescent="0.25">
      <c r="A198" s="25" t="str">
        <f xml:space="preserve"> MapNameLkup</f>
        <v>m_ofs_trex_ar_invoices</v>
      </c>
      <c r="B198" s="1" t="s">
        <v>853</v>
      </c>
      <c r="C198" s="1" t="s">
        <v>121</v>
      </c>
      <c r="D198" s="1" t="s">
        <v>863</v>
      </c>
      <c r="E198" s="1" t="s">
        <v>854</v>
      </c>
      <c r="F198" s="1" t="s">
        <v>121</v>
      </c>
      <c r="G198" s="1" t="s">
        <v>66</v>
      </c>
      <c r="H198" s="10" t="str">
        <f>CONCATENATE(Connectors[[#This Row],[FROMINSTANCE]],"::",Connectors[[#This Row],[FROMFIELD]],"::",Connectors[[#This Row],[FROMINSTANCETYPE]])</f>
        <v>FLTR_update::account_number::Filter</v>
      </c>
      <c r="I198" s="10" t="str">
        <f>CONCATENATE(Connectors[[#This Row],[TOINSTANCE]],"::",Connectors[[#This Row],[TOFIELD]],"::",Connectors[[#This Row],[TOINSTANCETYPE]])</f>
        <v>UPD_ofs_ar_invoices_update::account_number::Update Strategy</v>
      </c>
    </row>
    <row r="199" spans="1:9" x14ac:dyDescent="0.25">
      <c r="A199" s="25" t="str">
        <f xml:space="preserve"> MapNameLkup</f>
        <v>m_ofs_trex_ar_invoices</v>
      </c>
      <c r="B199" s="1" t="s">
        <v>853</v>
      </c>
      <c r="C199" s="1" t="s">
        <v>122</v>
      </c>
      <c r="D199" s="1" t="s">
        <v>863</v>
      </c>
      <c r="E199" s="1" t="s">
        <v>854</v>
      </c>
      <c r="F199" s="1" t="s">
        <v>122</v>
      </c>
      <c r="G199" s="1" t="s">
        <v>66</v>
      </c>
      <c r="H199" s="10" t="str">
        <f>CONCATENATE(Connectors[[#This Row],[FROMINSTANCE]],"::",Connectors[[#This Row],[FROMFIELD]],"::",Connectors[[#This Row],[FROMINSTANCETYPE]])</f>
        <v>FLTR_update::party_name::Filter</v>
      </c>
      <c r="I199" s="10" t="str">
        <f>CONCATENATE(Connectors[[#This Row],[TOINSTANCE]],"::",Connectors[[#This Row],[TOFIELD]],"::",Connectors[[#This Row],[TOINSTANCETYPE]])</f>
        <v>UPD_ofs_ar_invoices_update::party_name::Update Strategy</v>
      </c>
    </row>
    <row r="200" spans="1:9" x14ac:dyDescent="0.25">
      <c r="A200" s="25" t="str">
        <f xml:space="preserve"> MapNameLkup</f>
        <v>m_ofs_trex_ar_invoices</v>
      </c>
      <c r="B200" s="1" t="s">
        <v>853</v>
      </c>
      <c r="C200" s="1" t="s">
        <v>872</v>
      </c>
      <c r="D200" s="1" t="s">
        <v>863</v>
      </c>
      <c r="E200" s="1" t="s">
        <v>854</v>
      </c>
      <c r="F200" s="1" t="s">
        <v>872</v>
      </c>
      <c r="G200" s="1" t="s">
        <v>66</v>
      </c>
      <c r="H200" s="10" t="str">
        <f>CONCATENATE(Connectors[[#This Row],[FROMINSTANCE]],"::",Connectors[[#This Row],[FROMFIELD]],"::",Connectors[[#This Row],[FROMINSTANCETYPE]])</f>
        <v>FLTR_update::o_customer_trx_id::Filter</v>
      </c>
      <c r="I200" s="10" t="str">
        <f>CONCATENATE(Connectors[[#This Row],[TOINSTANCE]],"::",Connectors[[#This Row],[TOFIELD]],"::",Connectors[[#This Row],[TOINSTANCETYPE]])</f>
        <v>UPD_ofs_ar_invoices_update::o_customer_trx_id::Update Strategy</v>
      </c>
    </row>
    <row r="201" spans="1:9" x14ac:dyDescent="0.25">
      <c r="A201" s="25" t="str">
        <f xml:space="preserve"> MapNameLkup</f>
        <v>m_ofs_trex_ar_invoices</v>
      </c>
      <c r="B201" s="1" t="s">
        <v>853</v>
      </c>
      <c r="C201" s="1" t="s">
        <v>124</v>
      </c>
      <c r="D201" s="1" t="s">
        <v>863</v>
      </c>
      <c r="E201" s="1" t="s">
        <v>854</v>
      </c>
      <c r="F201" s="1" t="s">
        <v>124</v>
      </c>
      <c r="G201" s="1" t="s">
        <v>66</v>
      </c>
      <c r="H201" s="10" t="str">
        <f>CONCATENATE(Connectors[[#This Row],[FROMINSTANCE]],"::",Connectors[[#This Row],[FROMFIELD]],"::",Connectors[[#This Row],[FROMINSTANCETYPE]])</f>
        <v>FLTR_update::invoice_number::Filter</v>
      </c>
      <c r="I201" s="10" t="str">
        <f>CONCATENATE(Connectors[[#This Row],[TOINSTANCE]],"::",Connectors[[#This Row],[TOFIELD]],"::",Connectors[[#This Row],[TOINSTANCETYPE]])</f>
        <v>UPD_ofs_ar_invoices_update::invoice_number::Update Strategy</v>
      </c>
    </row>
    <row r="202" spans="1:9" x14ac:dyDescent="0.25">
      <c r="A202" s="25" t="str">
        <f xml:space="preserve"> MapNameLkup</f>
        <v>m_ofs_trex_ar_invoices</v>
      </c>
      <c r="B202" s="1" t="s">
        <v>853</v>
      </c>
      <c r="C202" s="1" t="s">
        <v>125</v>
      </c>
      <c r="D202" s="1" t="s">
        <v>863</v>
      </c>
      <c r="E202" s="1" t="s">
        <v>854</v>
      </c>
      <c r="F202" s="1" t="s">
        <v>125</v>
      </c>
      <c r="G202" s="1" t="s">
        <v>66</v>
      </c>
      <c r="H202" s="10" t="str">
        <f>CONCATENATE(Connectors[[#This Row],[FROMINSTANCE]],"::",Connectors[[#This Row],[FROMFIELD]],"::",Connectors[[#This Row],[FROMINSTANCETYPE]])</f>
        <v>FLTR_update::kme_ar_inv_no::Filter</v>
      </c>
      <c r="I202" s="10" t="str">
        <f>CONCATENATE(Connectors[[#This Row],[TOINSTANCE]],"::",Connectors[[#This Row],[TOFIELD]],"::",Connectors[[#This Row],[TOINSTANCETYPE]])</f>
        <v>UPD_ofs_ar_invoices_update::kme_ar_inv_no::Update Strategy</v>
      </c>
    </row>
    <row r="203" spans="1:9" x14ac:dyDescent="0.25">
      <c r="A203" s="25" t="str">
        <f xml:space="preserve"> MapNameLkup</f>
        <v>m_ofs_trex_ar_invoices</v>
      </c>
      <c r="B203" s="1" t="s">
        <v>853</v>
      </c>
      <c r="C203" s="1" t="s">
        <v>126</v>
      </c>
      <c r="D203" s="1" t="s">
        <v>863</v>
      </c>
      <c r="E203" s="1" t="s">
        <v>854</v>
      </c>
      <c r="F203" s="1" t="s">
        <v>126</v>
      </c>
      <c r="G203" s="1" t="s">
        <v>66</v>
      </c>
      <c r="H203" s="10" t="str">
        <f>CONCATENATE(Connectors[[#This Row],[FROMINSTANCE]],"::",Connectors[[#This Row],[FROMFIELD]],"::",Connectors[[#This Row],[FROMINSTANCETYPE]])</f>
        <v>FLTR_update::kme_ar_inv_amd_no::Filter</v>
      </c>
      <c r="I203" s="10" t="str">
        <f>CONCATENATE(Connectors[[#This Row],[TOINSTANCE]],"::",Connectors[[#This Row],[TOFIELD]],"::",Connectors[[#This Row],[TOINSTANCETYPE]])</f>
        <v>UPD_ofs_ar_invoices_update::kme_ar_inv_amd_no::Update Strategy</v>
      </c>
    </row>
    <row r="204" spans="1:9" x14ac:dyDescent="0.25">
      <c r="A204" s="25" t="str">
        <f xml:space="preserve"> MapNameLkup</f>
        <v>m_ofs_trex_ar_invoices</v>
      </c>
      <c r="B204" s="1" t="s">
        <v>853</v>
      </c>
      <c r="C204" s="1" t="s">
        <v>127</v>
      </c>
      <c r="D204" s="1" t="s">
        <v>863</v>
      </c>
      <c r="E204" s="1" t="s">
        <v>854</v>
      </c>
      <c r="F204" s="1" t="s">
        <v>127</v>
      </c>
      <c r="G204" s="1" t="s">
        <v>66</v>
      </c>
      <c r="H204" s="10" t="str">
        <f>CONCATENATE(Connectors[[#This Row],[FROMINSTANCE]],"::",Connectors[[#This Row],[FROMFIELD]],"::",Connectors[[#This Row],[FROMINSTANCETYPE]])</f>
        <v>FLTR_update::invoice_date::Filter</v>
      </c>
      <c r="I204" s="10" t="str">
        <f>CONCATENATE(Connectors[[#This Row],[TOINSTANCE]],"::",Connectors[[#This Row],[TOFIELD]],"::",Connectors[[#This Row],[TOINSTANCETYPE]])</f>
        <v>UPD_ofs_ar_invoices_update::invoice_date::Update Strategy</v>
      </c>
    </row>
    <row r="205" spans="1:9" x14ac:dyDescent="0.25">
      <c r="A205" s="25" t="str">
        <f xml:space="preserve"> MapNameLkup</f>
        <v>m_ofs_trex_ar_invoices</v>
      </c>
      <c r="B205" s="1" t="s">
        <v>853</v>
      </c>
      <c r="C205" s="1" t="s">
        <v>130</v>
      </c>
      <c r="D205" s="1" t="s">
        <v>863</v>
      </c>
      <c r="E205" s="1" t="s">
        <v>854</v>
      </c>
      <c r="F205" s="1" t="s">
        <v>130</v>
      </c>
      <c r="G205" s="1" t="s">
        <v>66</v>
      </c>
      <c r="H205" s="10" t="str">
        <f>CONCATENATE(Connectors[[#This Row],[FROMINSTANCE]],"::",Connectors[[#This Row],[FROMFIELD]],"::",Connectors[[#This Row],[FROMINSTANCETYPE]])</f>
        <v>FLTR_update::transaction_type::Filter</v>
      </c>
      <c r="I205" s="10" t="str">
        <f>CONCATENATE(Connectors[[#This Row],[TOINSTANCE]],"::",Connectors[[#This Row],[TOFIELD]],"::",Connectors[[#This Row],[TOINSTANCETYPE]])</f>
        <v>UPD_ofs_ar_invoices_update::transaction_type::Update Strategy</v>
      </c>
    </row>
    <row r="206" spans="1:9" x14ac:dyDescent="0.25">
      <c r="A206" s="25" t="str">
        <f xml:space="preserve"> MapNameLkup</f>
        <v>m_ofs_trex_ar_invoices</v>
      </c>
      <c r="B206" s="1" t="s">
        <v>853</v>
      </c>
      <c r="C206" s="1" t="s">
        <v>144</v>
      </c>
      <c r="D206" s="1" t="s">
        <v>863</v>
      </c>
      <c r="E206" s="1" t="s">
        <v>854</v>
      </c>
      <c r="F206" s="1" t="s">
        <v>144</v>
      </c>
      <c r="G206" s="1" t="s">
        <v>66</v>
      </c>
      <c r="H206" s="10" t="str">
        <f>CONCATENATE(Connectors[[#This Row],[FROMINSTANCE]],"::",Connectors[[#This Row],[FROMFIELD]],"::",Connectors[[#This Row],[FROMINSTANCETYPE]])</f>
        <v>FLTR_update::invoice_gl_posted_date::Filter</v>
      </c>
      <c r="I206" s="10" t="str">
        <f>CONCATENATE(Connectors[[#This Row],[TOINSTANCE]],"::",Connectors[[#This Row],[TOFIELD]],"::",Connectors[[#This Row],[TOINSTANCETYPE]])</f>
        <v>UPD_ofs_ar_invoices_update::invoice_gl_posted_date::Update Strategy</v>
      </c>
    </row>
    <row r="207" spans="1:9" x14ac:dyDescent="0.25">
      <c r="A207" s="25" t="str">
        <f xml:space="preserve"> MapNameLkup</f>
        <v>m_ofs_trex_ar_invoices</v>
      </c>
      <c r="B207" s="1" t="s">
        <v>853</v>
      </c>
      <c r="C207" s="1" t="s">
        <v>145</v>
      </c>
      <c r="D207" s="1" t="s">
        <v>863</v>
      </c>
      <c r="E207" s="1" t="s">
        <v>854</v>
      </c>
      <c r="F207" s="1" t="s">
        <v>145</v>
      </c>
      <c r="G207" s="1" t="s">
        <v>66</v>
      </c>
      <c r="H207" s="10" t="str">
        <f>CONCATENATE(Connectors[[#This Row],[FROMINSTANCE]],"::",Connectors[[#This Row],[FROMFIELD]],"::",Connectors[[#This Row],[FROMINSTANCETYPE]])</f>
        <v>FLTR_update::invoice_gl_date::Filter</v>
      </c>
      <c r="I207" s="10" t="str">
        <f>CONCATENATE(Connectors[[#This Row],[TOINSTANCE]],"::",Connectors[[#This Row],[TOFIELD]],"::",Connectors[[#This Row],[TOINSTANCETYPE]])</f>
        <v>UPD_ofs_ar_invoices_update::invoice_gl_date::Update Strategy</v>
      </c>
    </row>
    <row r="208" spans="1:9" x14ac:dyDescent="0.25">
      <c r="A208" s="25" t="str">
        <f xml:space="preserve"> MapNameLkup</f>
        <v>m_ofs_trex_ar_invoices</v>
      </c>
      <c r="B208" s="1" t="s">
        <v>853</v>
      </c>
      <c r="C208" s="1" t="s">
        <v>873</v>
      </c>
      <c r="D208" s="1" t="s">
        <v>863</v>
      </c>
      <c r="E208" s="1" t="s">
        <v>854</v>
      </c>
      <c r="F208" s="1" t="s">
        <v>873</v>
      </c>
      <c r="G208" s="1" t="s">
        <v>66</v>
      </c>
      <c r="H208" s="10" t="str">
        <f>CONCATENATE(Connectors[[#This Row],[FROMINSTANCE]],"::",Connectors[[#This Row],[FROMFIELD]],"::",Connectors[[#This Row],[FROMINSTANCETYPE]])</f>
        <v>FLTR_update::o_acctd_amount::Filter</v>
      </c>
      <c r="I208" s="10" t="str">
        <f>CONCATENATE(Connectors[[#This Row],[TOINSTANCE]],"::",Connectors[[#This Row],[TOFIELD]],"::",Connectors[[#This Row],[TOINSTANCETYPE]])</f>
        <v>UPD_ofs_ar_invoices_update::o_acctd_amount::Update Strategy</v>
      </c>
    </row>
    <row r="209" spans="1:9" x14ac:dyDescent="0.25">
      <c r="A209" s="25" t="str">
        <f xml:space="preserve"> MapNameLkup</f>
        <v>m_ofs_trex_ar_invoices</v>
      </c>
      <c r="B209" s="1" t="s">
        <v>853</v>
      </c>
      <c r="C209" s="1" t="s">
        <v>876</v>
      </c>
      <c r="D209" s="1" t="s">
        <v>863</v>
      </c>
      <c r="E209" s="1" t="s">
        <v>854</v>
      </c>
      <c r="F209" s="1" t="s">
        <v>876</v>
      </c>
      <c r="G209" s="1" t="s">
        <v>66</v>
      </c>
      <c r="H209" s="10" t="str">
        <f>CONCATENATE(Connectors[[#This Row],[FROMINSTANCE]],"::",Connectors[[#This Row],[FROMFIELD]],"::",Connectors[[#This Row],[FROMINSTANCETYPE]])</f>
        <v>FLTR_update::o_amount_applied::Filter</v>
      </c>
      <c r="I209" s="10" t="str">
        <f>CONCATENATE(Connectors[[#This Row],[TOINSTANCE]],"::",Connectors[[#This Row],[TOFIELD]],"::",Connectors[[#This Row],[TOINSTANCETYPE]])</f>
        <v>UPD_ofs_ar_invoices_update::o_amount_applied::Update Strategy</v>
      </c>
    </row>
    <row r="210" spans="1:9" x14ac:dyDescent="0.25">
      <c r="A210" s="25" t="str">
        <f xml:space="preserve"> MapNameLkup</f>
        <v>m_ofs_trex_ar_invoices</v>
      </c>
      <c r="B210" s="1" t="s">
        <v>853</v>
      </c>
      <c r="C210" s="1" t="s">
        <v>878</v>
      </c>
      <c r="D210" s="1" t="s">
        <v>863</v>
      </c>
      <c r="E210" s="1" t="s">
        <v>854</v>
      </c>
      <c r="F210" s="1" t="s">
        <v>878</v>
      </c>
      <c r="G210" s="1" t="s">
        <v>66</v>
      </c>
      <c r="H210" s="10" t="str">
        <f>CONCATENATE(Connectors[[#This Row],[FROMINSTANCE]],"::",Connectors[[#This Row],[FROMFIELD]],"::",Connectors[[#This Row],[FROMINSTANCETYPE]])</f>
        <v>FLTR_update::o_amount_due_remaining::Filter</v>
      </c>
      <c r="I210" s="10" t="str">
        <f>CONCATENATE(Connectors[[#This Row],[TOINSTANCE]],"::",Connectors[[#This Row],[TOFIELD]],"::",Connectors[[#This Row],[TOINSTANCETYPE]])</f>
        <v>UPD_ofs_ar_invoices_update::o_amount_due_remaining::Update Strategy</v>
      </c>
    </row>
    <row r="211" spans="1:9" x14ac:dyDescent="0.25">
      <c r="A211" s="25" t="str">
        <f xml:space="preserve"> MapNameLkup</f>
        <v>m_ofs_trex_ar_invoices</v>
      </c>
      <c r="B211" s="1" t="s">
        <v>853</v>
      </c>
      <c r="C211" s="1" t="s">
        <v>137</v>
      </c>
      <c r="D211" s="1" t="s">
        <v>863</v>
      </c>
      <c r="E211" s="1" t="s">
        <v>854</v>
      </c>
      <c r="F211" s="1" t="s">
        <v>137</v>
      </c>
      <c r="G211" s="1" t="s">
        <v>66</v>
      </c>
      <c r="H211" s="10" t="str">
        <f>CONCATENATE(Connectors[[#This Row],[FROMINSTANCE]],"::",Connectors[[#This Row],[FROMFIELD]],"::",Connectors[[#This Row],[FROMINSTANCETYPE]])</f>
        <v>FLTR_update::currency_code::Filter</v>
      </c>
      <c r="I211" s="10" t="str">
        <f>CONCATENATE(Connectors[[#This Row],[TOINSTANCE]],"::",Connectors[[#This Row],[TOFIELD]],"::",Connectors[[#This Row],[TOINSTANCETYPE]])</f>
        <v>UPD_ofs_ar_invoices_update::currency_code::Update Strategy</v>
      </c>
    </row>
    <row r="212" spans="1:9" x14ac:dyDescent="0.25">
      <c r="A212" s="25" t="str">
        <f xml:space="preserve"> MapNameLkup</f>
        <v>m_ofs_trex_ar_invoices</v>
      </c>
      <c r="B212" s="1" t="s">
        <v>853</v>
      </c>
      <c r="C212" s="1" t="s">
        <v>138</v>
      </c>
      <c r="D212" s="1" t="s">
        <v>863</v>
      </c>
      <c r="E212" s="1" t="s">
        <v>854</v>
      </c>
      <c r="F212" s="1" t="s">
        <v>138</v>
      </c>
      <c r="G212" s="1" t="s">
        <v>66</v>
      </c>
      <c r="H212" s="10" t="str">
        <f>CONCATENATE(Connectors[[#This Row],[FROMINSTANCE]],"::",Connectors[[#This Row],[FROMFIELD]],"::",Connectors[[#This Row],[FROMINSTANCETYPE]])</f>
        <v>FLTR_update::payment_terms::Filter</v>
      </c>
      <c r="I212" s="10" t="str">
        <f>CONCATENATE(Connectors[[#This Row],[TOINSTANCE]],"::",Connectors[[#This Row],[TOFIELD]],"::",Connectors[[#This Row],[TOINSTANCETYPE]])</f>
        <v>UPD_ofs_ar_invoices_update::payment_terms::Update Strategy</v>
      </c>
    </row>
    <row r="213" spans="1:9" x14ac:dyDescent="0.25">
      <c r="A213" s="25" t="str">
        <f xml:space="preserve"> MapNameLkup</f>
        <v>m_ofs_trex_ar_invoices</v>
      </c>
      <c r="B213" s="1" t="s">
        <v>853</v>
      </c>
      <c r="C213" s="1" t="s">
        <v>140</v>
      </c>
      <c r="D213" s="1" t="s">
        <v>863</v>
      </c>
      <c r="E213" s="1" t="s">
        <v>854</v>
      </c>
      <c r="F213" s="1" t="s">
        <v>140</v>
      </c>
      <c r="G213" s="1" t="s">
        <v>66</v>
      </c>
      <c r="H213" s="10" t="str">
        <f>CONCATENATE(Connectors[[#This Row],[FROMINSTANCE]],"::",Connectors[[#This Row],[FROMFIELD]],"::",Connectors[[#This Row],[FROMINSTANCETYPE]])</f>
        <v>FLTR_update::created_by::Filter</v>
      </c>
      <c r="I213" s="10" t="str">
        <f>CONCATENATE(Connectors[[#This Row],[TOINSTANCE]],"::",Connectors[[#This Row],[TOFIELD]],"::",Connectors[[#This Row],[TOINSTANCETYPE]])</f>
        <v>UPD_ofs_ar_invoices_update::created_by::Update Strategy</v>
      </c>
    </row>
    <row r="214" spans="1:9" x14ac:dyDescent="0.25">
      <c r="A214" s="25" t="str">
        <f xml:space="preserve"> MapNameLkup</f>
        <v>m_ofs_trex_ar_invoices</v>
      </c>
      <c r="B214" s="1" t="s">
        <v>853</v>
      </c>
      <c r="C214" s="1" t="s">
        <v>141</v>
      </c>
      <c r="D214" s="1" t="s">
        <v>863</v>
      </c>
      <c r="E214" s="1" t="s">
        <v>854</v>
      </c>
      <c r="F214" s="1" t="s">
        <v>141</v>
      </c>
      <c r="G214" s="1" t="s">
        <v>66</v>
      </c>
      <c r="H214" s="10" t="str">
        <f>CONCATENATE(Connectors[[#This Row],[FROMINSTANCE]],"::",Connectors[[#This Row],[FROMFIELD]],"::",Connectors[[#This Row],[FROMINSTANCETYPE]])</f>
        <v>FLTR_update::last_updated_by::Filter</v>
      </c>
      <c r="I214" s="10" t="str">
        <f>CONCATENATE(Connectors[[#This Row],[TOINSTANCE]],"::",Connectors[[#This Row],[TOFIELD]],"::",Connectors[[#This Row],[TOINSTANCETYPE]])</f>
        <v>UPD_ofs_ar_invoices_update::last_updated_by::Update Strategy</v>
      </c>
    </row>
    <row r="215" spans="1:9" x14ac:dyDescent="0.25">
      <c r="A215" s="25" t="str">
        <f xml:space="preserve"> MapNameLkup</f>
        <v>m_ofs_trex_ar_invoices</v>
      </c>
      <c r="B215" s="1" t="s">
        <v>853</v>
      </c>
      <c r="C215" s="1" t="s">
        <v>142</v>
      </c>
      <c r="D215" s="1" t="s">
        <v>863</v>
      </c>
      <c r="E215" s="1" t="s">
        <v>854</v>
      </c>
      <c r="F215" s="1" t="s">
        <v>142</v>
      </c>
      <c r="G215" s="1" t="s">
        <v>66</v>
      </c>
      <c r="H215" s="10" t="str">
        <f>CONCATENATE(Connectors[[#This Row],[FROMINSTANCE]],"::",Connectors[[#This Row],[FROMFIELD]],"::",Connectors[[#This Row],[FROMINSTANCETYPE]])</f>
        <v>FLTR_update::invoice_creation_date::Filter</v>
      </c>
      <c r="I215" s="10" t="str">
        <f>CONCATENATE(Connectors[[#This Row],[TOINSTANCE]],"::",Connectors[[#This Row],[TOFIELD]],"::",Connectors[[#This Row],[TOINSTANCETYPE]])</f>
        <v>UPD_ofs_ar_invoices_update::invoice_creation_date::Update Strategy</v>
      </c>
    </row>
    <row r="216" spans="1:9" x14ac:dyDescent="0.25">
      <c r="A216" s="25" t="str">
        <f xml:space="preserve"> MapNameLkup</f>
        <v>m_ofs_trex_ar_invoices</v>
      </c>
      <c r="B216" s="1" t="s">
        <v>853</v>
      </c>
      <c r="C216" s="1" t="s">
        <v>143</v>
      </c>
      <c r="D216" s="1" t="s">
        <v>863</v>
      </c>
      <c r="E216" s="1" t="s">
        <v>854</v>
      </c>
      <c r="F216" s="1" t="s">
        <v>143</v>
      </c>
      <c r="G216" s="1" t="s">
        <v>66</v>
      </c>
      <c r="H216" s="10" t="str">
        <f>CONCATENATE(Connectors[[#This Row],[FROMINSTANCE]],"::",Connectors[[#This Row],[FROMFIELD]],"::",Connectors[[#This Row],[FROMINSTANCETYPE]])</f>
        <v>FLTR_update::invoice_last_update_date::Filter</v>
      </c>
      <c r="I216" s="10" t="str">
        <f>CONCATENATE(Connectors[[#This Row],[TOINSTANCE]],"::",Connectors[[#This Row],[TOFIELD]],"::",Connectors[[#This Row],[TOINSTANCETYPE]])</f>
        <v>UPD_ofs_ar_invoices_update::invoice_last_update_date::Update Strategy</v>
      </c>
    </row>
    <row r="217" spans="1:9" x14ac:dyDescent="0.25">
      <c r="A217" s="25" t="str">
        <f xml:space="preserve"> MapNameLkup</f>
        <v>m_ofs_trex_ar_invoices</v>
      </c>
      <c r="B217" s="1" t="s">
        <v>853</v>
      </c>
      <c r="C217" s="1" t="s">
        <v>128</v>
      </c>
      <c r="D217" s="1" t="s">
        <v>863</v>
      </c>
      <c r="E217" s="1" t="s">
        <v>854</v>
      </c>
      <c r="F217" s="1" t="s">
        <v>128</v>
      </c>
      <c r="G217" s="1" t="s">
        <v>66</v>
      </c>
      <c r="H217" s="10" t="str">
        <f>CONCATENATE(Connectors[[#This Row],[FROMINSTANCE]],"::",Connectors[[#This Row],[FROMFIELD]],"::",Connectors[[#This Row],[FROMINSTANCETYPE]])</f>
        <v>FLTR_update::due_date::Filter</v>
      </c>
      <c r="I217" s="10" t="str">
        <f>CONCATENATE(Connectors[[#This Row],[TOINSTANCE]],"::",Connectors[[#This Row],[TOFIELD]],"::",Connectors[[#This Row],[TOINSTANCETYPE]])</f>
        <v>UPD_ofs_ar_invoices_update::due_date::Update Strategy</v>
      </c>
    </row>
    <row r="218" spans="1:9" x14ac:dyDescent="0.25">
      <c r="A218" s="25" t="str">
        <f xml:space="preserve"> MapNameLkup</f>
        <v>m_ofs_trex_ar_invoices</v>
      </c>
      <c r="B218" s="1" t="s">
        <v>853</v>
      </c>
      <c r="C218" s="1" t="s">
        <v>139</v>
      </c>
      <c r="D218" s="1" t="s">
        <v>863</v>
      </c>
      <c r="E218" s="1" t="s">
        <v>854</v>
      </c>
      <c r="F218" s="1" t="s">
        <v>139</v>
      </c>
      <c r="G218" s="1" t="s">
        <v>66</v>
      </c>
      <c r="H218" s="10" t="str">
        <f>CONCATENATE(Connectors[[#This Row],[FROMINSTANCE]],"::",Connectors[[#This Row],[FROMFIELD]],"::",Connectors[[#This Row],[FROMINSTANCETYPE]])</f>
        <v>FLTR_update::receipt_method::Filter</v>
      </c>
      <c r="I218" s="10" t="str">
        <f>CONCATENATE(Connectors[[#This Row],[TOINSTANCE]],"::",Connectors[[#This Row],[TOFIELD]],"::",Connectors[[#This Row],[TOINSTANCETYPE]])</f>
        <v>UPD_ofs_ar_invoices_update::receipt_method::Update Strategy</v>
      </c>
    </row>
    <row r="219" spans="1:9" x14ac:dyDescent="0.25">
      <c r="A219" s="25" t="str">
        <f xml:space="preserve"> MapNameLkup</f>
        <v>m_ofs_trex_ar_invoices</v>
      </c>
      <c r="B219" s="1" t="s">
        <v>853</v>
      </c>
      <c r="C219" s="1" t="s">
        <v>146</v>
      </c>
      <c r="D219" s="1" t="s">
        <v>863</v>
      </c>
      <c r="E219" s="1" t="s">
        <v>854</v>
      </c>
      <c r="F219" s="1" t="s">
        <v>146</v>
      </c>
      <c r="G219" s="1" t="s">
        <v>66</v>
      </c>
      <c r="H219" s="10" t="str">
        <f>CONCATENATE(Connectors[[#This Row],[FROMINSTANCE]],"::",Connectors[[#This Row],[FROMFIELD]],"::",Connectors[[#This Row],[FROMINSTANCETYPE]])</f>
        <v>FLTR_update::aud_dim_id::Filter</v>
      </c>
      <c r="I219" s="10" t="str">
        <f>CONCATENATE(Connectors[[#This Row],[TOINSTANCE]],"::",Connectors[[#This Row],[TOFIELD]],"::",Connectors[[#This Row],[TOINSTANCETYPE]])</f>
        <v>UPD_ofs_ar_invoices_update::aud_dim_id::Update Strategy</v>
      </c>
    </row>
    <row r="220" spans="1:9" x14ac:dyDescent="0.25">
      <c r="A220" s="25" t="str">
        <f xml:space="preserve"> MapNameLkup</f>
        <v>m_ofs_trex_ar_invoices</v>
      </c>
      <c r="B220" s="1" t="s">
        <v>853</v>
      </c>
      <c r="C220" s="1" t="s">
        <v>147</v>
      </c>
      <c r="D220" s="1" t="s">
        <v>863</v>
      </c>
      <c r="E220" s="1" t="s">
        <v>854</v>
      </c>
      <c r="F220" s="1" t="s">
        <v>147</v>
      </c>
      <c r="G220" s="1" t="s">
        <v>66</v>
      </c>
      <c r="H220" s="10" t="str">
        <f>CONCATENATE(Connectors[[#This Row],[FROMINSTANCE]],"::",Connectors[[#This Row],[FROMFIELD]],"::",Connectors[[#This Row],[FROMINSTANCETYPE]])</f>
        <v>FLTR_update::prcs_sts_cd::Filter</v>
      </c>
      <c r="I220" s="10" t="str">
        <f>CONCATENATE(Connectors[[#This Row],[TOINSTANCE]],"::",Connectors[[#This Row],[TOFIELD]],"::",Connectors[[#This Row],[TOINSTANCETYPE]])</f>
        <v>UPD_ofs_ar_invoices_update::prcs_sts_cd::Update Strategy</v>
      </c>
    </row>
    <row r="221" spans="1:9" x14ac:dyDescent="0.25">
      <c r="A221" s="25" t="str">
        <f xml:space="preserve"> MapNameLkup</f>
        <v>m_ofs_trex_ar_invoices</v>
      </c>
      <c r="B221" s="1" t="s">
        <v>853</v>
      </c>
      <c r="C221" s="1" t="s">
        <v>880</v>
      </c>
      <c r="D221" s="1" t="s">
        <v>863</v>
      </c>
      <c r="E221" s="1" t="s">
        <v>854</v>
      </c>
      <c r="F221" s="1" t="s">
        <v>880</v>
      </c>
      <c r="G221" s="1" t="s">
        <v>66</v>
      </c>
      <c r="H221" s="10" t="str">
        <f>CONCATENATE(Connectors[[#This Row],[FROMINSTANCE]],"::",Connectors[[#This Row],[FROMFIELD]],"::",Connectors[[#This Row],[FROMINSTANCETYPE]])</f>
        <v>FLTR_update::user_cd::Filter</v>
      </c>
      <c r="I221" s="10" t="str">
        <f>CONCATENATE(Connectors[[#This Row],[TOINSTANCE]],"::",Connectors[[#This Row],[TOFIELD]],"::",Connectors[[#This Row],[TOINSTANCETYPE]])</f>
        <v>UPD_ofs_ar_invoices_update::user_cd::Update Strategy</v>
      </c>
    </row>
    <row r="222" spans="1:9" x14ac:dyDescent="0.25">
      <c r="A222" s="25" t="str">
        <f xml:space="preserve"> MapNameLkup</f>
        <v>m_ofs_trex_ar_invoices</v>
      </c>
      <c r="B222" s="1" t="s">
        <v>853</v>
      </c>
      <c r="C222" s="1" t="s">
        <v>866</v>
      </c>
      <c r="D222" s="1" t="s">
        <v>863</v>
      </c>
      <c r="E222" s="1" t="s">
        <v>854</v>
      </c>
      <c r="F222" s="1" t="s">
        <v>866</v>
      </c>
      <c r="G222" s="1" t="s">
        <v>66</v>
      </c>
      <c r="H222" s="10" t="str">
        <f>CONCATENATE(Connectors[[#This Row],[FROMINSTANCE]],"::",Connectors[[#This Row],[FROMFIELD]],"::",Connectors[[#This Row],[FROMINSTANCETYPE]])</f>
        <v>FLTR_update::session_start_time::Filter</v>
      </c>
      <c r="I222" s="10" t="str">
        <f>CONCATENATE(Connectors[[#This Row],[TOINSTANCE]],"::",Connectors[[#This Row],[TOFIELD]],"::",Connectors[[#This Row],[TOINSTANCETYPE]])</f>
        <v>UPD_ofs_ar_invoices_update::session_start_time::Update Strategy</v>
      </c>
    </row>
    <row r="223" spans="1:9" x14ac:dyDescent="0.25">
      <c r="A223" s="25" t="str">
        <f xml:space="preserve"> MapNameLkup</f>
        <v>m_ofs_trex_ar_invoices</v>
      </c>
      <c r="B223" s="1" t="s">
        <v>853</v>
      </c>
      <c r="C223" s="1" t="s">
        <v>874</v>
      </c>
      <c r="D223" s="1" t="s">
        <v>863</v>
      </c>
      <c r="E223" s="1" t="s">
        <v>854</v>
      </c>
      <c r="F223" s="1" t="s">
        <v>874</v>
      </c>
      <c r="G223" s="1" t="s">
        <v>66</v>
      </c>
      <c r="H223" s="10" t="str">
        <f>CONCATENATE(Connectors[[#This Row],[FROMINSTANCE]],"::",Connectors[[#This Row],[FROMFIELD]],"::",Connectors[[#This Row],[FROMINSTANCETYPE]])</f>
        <v>FLTR_update::o_amount::Filter</v>
      </c>
      <c r="I223" s="10" t="str">
        <f>CONCATENATE(Connectors[[#This Row],[TOINSTANCE]],"::",Connectors[[#This Row],[TOFIELD]],"::",Connectors[[#This Row],[TOINSTANCETYPE]])</f>
        <v>UPD_ofs_ar_invoices_update::o_amount::Update Strategy</v>
      </c>
    </row>
    <row r="224" spans="1:9" x14ac:dyDescent="0.25">
      <c r="A224" s="25" t="str">
        <f xml:space="preserve"> MapNameLkup</f>
        <v>m_ofs_trex_ar_invoices</v>
      </c>
      <c r="B224" s="1" t="s">
        <v>853</v>
      </c>
      <c r="C224" s="1" t="s">
        <v>875</v>
      </c>
      <c r="D224" s="1" t="s">
        <v>863</v>
      </c>
      <c r="E224" s="1" t="s">
        <v>854</v>
      </c>
      <c r="F224" s="1" t="s">
        <v>875</v>
      </c>
      <c r="G224" s="1" t="s">
        <v>66</v>
      </c>
      <c r="H224" s="10" t="str">
        <f>CONCATENATE(Connectors[[#This Row],[FROMINSTANCE]],"::",Connectors[[#This Row],[FROMFIELD]],"::",Connectors[[#This Row],[FROMINSTANCETYPE]])</f>
        <v>FLTR_update::o_acctd_amount_applied_to::Filter</v>
      </c>
      <c r="I224" s="10" t="str">
        <f>CONCATENATE(Connectors[[#This Row],[TOINSTANCE]],"::",Connectors[[#This Row],[TOFIELD]],"::",Connectors[[#This Row],[TOINSTANCETYPE]])</f>
        <v>UPD_ofs_ar_invoices_update::o_acctd_amount_applied_to::Update Strategy</v>
      </c>
    </row>
    <row r="225" spans="1:9" x14ac:dyDescent="0.25">
      <c r="A225" s="25" t="str">
        <f xml:space="preserve"> MapNameLkup</f>
        <v>m_ofs_trex_ar_invoices</v>
      </c>
      <c r="B225" s="1" t="s">
        <v>853</v>
      </c>
      <c r="C225" s="1" t="s">
        <v>877</v>
      </c>
      <c r="D225" s="1" t="s">
        <v>863</v>
      </c>
      <c r="E225" s="1" t="s">
        <v>854</v>
      </c>
      <c r="F225" s="1" t="s">
        <v>877</v>
      </c>
      <c r="G225" s="1" t="s">
        <v>66</v>
      </c>
      <c r="H225" s="10" t="str">
        <f>CONCATENATE(Connectors[[#This Row],[FROMINSTANCE]],"::",Connectors[[#This Row],[FROMFIELD]],"::",Connectors[[#This Row],[FROMINSTANCETYPE]])</f>
        <v>FLTR_update::o_acctd_amount_due_remaining::Filter</v>
      </c>
      <c r="I225" s="10" t="str">
        <f>CONCATENATE(Connectors[[#This Row],[TOINSTANCE]],"::",Connectors[[#This Row],[TOFIELD]],"::",Connectors[[#This Row],[TOINSTANCETYPE]])</f>
        <v>UPD_ofs_ar_invoices_update::o_acctd_amount_due_remaining::Update Strategy</v>
      </c>
    </row>
    <row r="226" spans="1:9" x14ac:dyDescent="0.25">
      <c r="A226" s="25" t="str">
        <f xml:space="preserve"> MapNameLkup</f>
        <v>m_ofs_trex_ar_invoices</v>
      </c>
      <c r="B226" s="1" t="s">
        <v>853</v>
      </c>
      <c r="C226" s="1" t="s">
        <v>112</v>
      </c>
      <c r="D226" s="1" t="s">
        <v>863</v>
      </c>
      <c r="E226" s="1" t="s">
        <v>854</v>
      </c>
      <c r="F226" s="1" t="s">
        <v>112</v>
      </c>
      <c r="G226" s="1" t="s">
        <v>66</v>
      </c>
      <c r="H226" s="10" t="str">
        <f>CONCATENATE(Connectors[[#This Row],[FROMINSTANCE]],"::",Connectors[[#This Row],[FROMFIELD]],"::",Connectors[[#This Row],[FROMINSTANCETYPE]])</f>
        <v>FLTR_update::invoice_rec_id::Filter</v>
      </c>
      <c r="I226" s="10" t="str">
        <f>CONCATENATE(Connectors[[#This Row],[TOINSTANCE]],"::",Connectors[[#This Row],[TOFIELD]],"::",Connectors[[#This Row],[TOINSTANCETYPE]])</f>
        <v>UPD_ofs_ar_invoices_update::invoice_rec_id::Update Strategy</v>
      </c>
    </row>
    <row r="227" spans="1:9" x14ac:dyDescent="0.25">
      <c r="A227" s="25" t="str">
        <f xml:space="preserve"> MapNameLkup</f>
        <v>m_ofs_trex_ar_invoices</v>
      </c>
      <c r="B227" s="1" t="s">
        <v>853</v>
      </c>
      <c r="C227" s="1" t="s">
        <v>113</v>
      </c>
      <c r="D227" s="1" t="s">
        <v>863</v>
      </c>
      <c r="E227" s="1" t="s">
        <v>854</v>
      </c>
      <c r="F227" s="1" t="s">
        <v>113</v>
      </c>
      <c r="G227" s="1" t="s">
        <v>66</v>
      </c>
      <c r="H227" s="10" t="str">
        <f>CONCATENATE(Connectors[[#This Row],[FROMINSTANCE]],"::",Connectors[[#This Row],[FROMFIELD]],"::",Connectors[[#This Row],[FROMINSTANCETYPE]])</f>
        <v>FLTR_update::etl_trans_id::Filter</v>
      </c>
      <c r="I227" s="10" t="str">
        <f>CONCATENATE(Connectors[[#This Row],[TOINSTANCE]],"::",Connectors[[#This Row],[TOFIELD]],"::",Connectors[[#This Row],[TOINSTANCETYPE]])</f>
        <v>UPD_ofs_ar_invoices_update::etl_trans_id::Update Strategy</v>
      </c>
    </row>
    <row r="228" spans="1:9" x14ac:dyDescent="0.25">
      <c r="A228" s="25" t="str">
        <f xml:space="preserve"> MapNameLkup</f>
        <v>m_ofs_trex_ar_invoices</v>
      </c>
      <c r="B228" s="1" t="s">
        <v>853</v>
      </c>
      <c r="C228" s="1" t="s">
        <v>114</v>
      </c>
      <c r="D228" s="1" t="s">
        <v>863</v>
      </c>
      <c r="E228" s="1" t="s">
        <v>854</v>
      </c>
      <c r="F228" s="1" t="s">
        <v>114</v>
      </c>
      <c r="G228" s="1" t="s">
        <v>66</v>
      </c>
      <c r="H228" s="10" t="str">
        <f>CONCATENATE(Connectors[[#This Row],[FROMINSTANCE]],"::",Connectors[[#This Row],[FROMFIELD]],"::",Connectors[[#This Row],[FROMINSTANCETYPE]])</f>
        <v>FLTR_update::extn_sys_cd::Filter</v>
      </c>
      <c r="I228" s="10" t="str">
        <f>CONCATENATE(Connectors[[#This Row],[TOINSTANCE]],"::",Connectors[[#This Row],[TOFIELD]],"::",Connectors[[#This Row],[TOINSTANCETYPE]])</f>
        <v>UPD_ofs_ar_invoices_update::extn_sys_cd::Update Strategy</v>
      </c>
    </row>
    <row r="229" spans="1:9" x14ac:dyDescent="0.25">
      <c r="A229" s="25" t="str">
        <f xml:space="preserve"> MapNameLkup</f>
        <v>m_ofs_trex_ar_invoices</v>
      </c>
      <c r="B229" s="1" t="s">
        <v>853</v>
      </c>
      <c r="C229" s="1" t="s">
        <v>129</v>
      </c>
      <c r="D229" s="1" t="s">
        <v>863</v>
      </c>
      <c r="E229" s="1" t="s">
        <v>854</v>
      </c>
      <c r="F229" s="1" t="s">
        <v>129</v>
      </c>
      <c r="G229" s="1" t="s">
        <v>66</v>
      </c>
      <c r="H229" s="10" t="str">
        <f>CONCATENATE(Connectors[[#This Row],[FROMINSTANCE]],"::",Connectors[[#This Row],[FROMFIELD]],"::",Connectors[[#This Row],[FROMINSTANCETYPE]])</f>
        <v>FLTR_update::offset_nat_acct_no::Filter</v>
      </c>
      <c r="I229" s="10" t="str">
        <f>CONCATENATE(Connectors[[#This Row],[TOINSTANCE]],"::",Connectors[[#This Row],[TOFIELD]],"::",Connectors[[#This Row],[TOINSTANCETYPE]])</f>
        <v>UPD_ofs_ar_invoices_update::offset_nat_acct_no::Update Strategy</v>
      </c>
    </row>
    <row r="230" spans="1:9" x14ac:dyDescent="0.25">
      <c r="A230" s="25" t="str">
        <f xml:space="preserve"> MapNameLkup</f>
        <v>m_ofs_trex_ar_invoices</v>
      </c>
      <c r="B230" s="1" t="s">
        <v>853</v>
      </c>
      <c r="C230" s="1" t="s">
        <v>115</v>
      </c>
      <c r="D230" s="1" t="s">
        <v>863</v>
      </c>
      <c r="E230" s="1" t="s">
        <v>854</v>
      </c>
      <c r="F230" s="1" t="s">
        <v>115</v>
      </c>
      <c r="G230" s="1" t="s">
        <v>66</v>
      </c>
      <c r="H230" s="10" t="str">
        <f>CONCATENATE(Connectors[[#This Row],[FROMINSTANCE]],"::",Connectors[[#This Row],[FROMFIELD]],"::",Connectors[[#This Row],[FROMINSTANCETYPE]])</f>
        <v>FLTR_update::batch_id::Filter</v>
      </c>
      <c r="I230" s="10" t="str">
        <f>CONCATENATE(Connectors[[#This Row],[TOINSTANCE]],"::",Connectors[[#This Row],[TOFIELD]],"::",Connectors[[#This Row],[TOINSTANCETYPE]])</f>
        <v>UPD_ofs_ar_invoices_update::batch_id::Update Strategy</v>
      </c>
    </row>
    <row r="231" spans="1:9" x14ac:dyDescent="0.25">
      <c r="A231" s="25" t="str">
        <f xml:space="preserve"> MapNameLkup</f>
        <v>m_ofs_trex_ar_invoices</v>
      </c>
      <c r="B231" s="1" t="s">
        <v>853</v>
      </c>
      <c r="C231" s="1" t="s">
        <v>116</v>
      </c>
      <c r="D231" s="1" t="s">
        <v>863</v>
      </c>
      <c r="E231" s="1" t="s">
        <v>854</v>
      </c>
      <c r="F231" s="1" t="s">
        <v>116</v>
      </c>
      <c r="G231" s="1" t="s">
        <v>66</v>
      </c>
      <c r="H231" s="10" t="str">
        <f>CONCATENATE(Connectors[[#This Row],[FROMINSTANCE]],"::",Connectors[[#This Row],[FROMFIELD]],"::",Connectors[[#This Row],[FROMINSTANCETYPE]])</f>
        <v>FLTR_update::batch_name::Filter</v>
      </c>
      <c r="I231" s="10" t="str">
        <f>CONCATENATE(Connectors[[#This Row],[TOINSTANCE]],"::",Connectors[[#This Row],[TOFIELD]],"::",Connectors[[#This Row],[TOINSTANCETYPE]])</f>
        <v>UPD_ofs_ar_invoices_update::batch_name::Update Strategy</v>
      </c>
    </row>
    <row r="232" spans="1:9" x14ac:dyDescent="0.25">
      <c r="A232" s="25" t="str">
        <f xml:space="preserve"> MapNameLkup</f>
        <v>m_ofs_trex_ar_invoices</v>
      </c>
      <c r="B232" s="1" t="s">
        <v>853</v>
      </c>
      <c r="C232" s="1" t="s">
        <v>870</v>
      </c>
      <c r="D232" s="1" t="s">
        <v>863</v>
      </c>
      <c r="E232" s="1" t="s">
        <v>854</v>
      </c>
      <c r="F232" s="1" t="s">
        <v>870</v>
      </c>
      <c r="G232" s="1" t="s">
        <v>66</v>
      </c>
      <c r="H232" s="10" t="str">
        <f>CONCATENATE(Connectors[[#This Row],[FROMINSTANCE]],"::",Connectors[[#This Row],[FROMFIELD]],"::",Connectors[[#This Row],[FROMINSTANCETYPE]])</f>
        <v>FLTR_update::o_org_id::Filter</v>
      </c>
      <c r="I232" s="10" t="str">
        <f>CONCATENATE(Connectors[[#This Row],[TOINSTANCE]],"::",Connectors[[#This Row],[TOFIELD]],"::",Connectors[[#This Row],[TOINSTANCETYPE]])</f>
        <v>UPD_ofs_ar_invoices_update::o_org_id::Update Strategy</v>
      </c>
    </row>
    <row r="233" spans="1:9" x14ac:dyDescent="0.25">
      <c r="A233" s="25" t="str">
        <f xml:space="preserve"> MapNameLkup</f>
        <v>m_ofs_trex_ar_invoices</v>
      </c>
      <c r="B233" s="1" t="s">
        <v>853</v>
      </c>
      <c r="C233" s="1" t="s">
        <v>871</v>
      </c>
      <c r="D233" s="1" t="s">
        <v>863</v>
      </c>
      <c r="E233" s="1" t="s">
        <v>854</v>
      </c>
      <c r="F233" s="1" t="s">
        <v>871</v>
      </c>
      <c r="G233" s="1" t="s">
        <v>66</v>
      </c>
      <c r="H233" s="10" t="str">
        <f>CONCATENATE(Connectors[[#This Row],[FROMINSTANCE]],"::",Connectors[[#This Row],[FROMFIELD]],"::",Connectors[[#This Row],[FROMINSTANCETYPE]])</f>
        <v>FLTR_update::o_batch_source_id::Filter</v>
      </c>
      <c r="I233" s="10" t="str">
        <f>CONCATENATE(Connectors[[#This Row],[TOINSTANCE]],"::",Connectors[[#This Row],[TOFIELD]],"::",Connectors[[#This Row],[TOINSTANCETYPE]])</f>
        <v>UPD_ofs_ar_invoices_update::o_batch_source_id::Update Strategy</v>
      </c>
    </row>
    <row r="234" spans="1:9" x14ac:dyDescent="0.25">
      <c r="A234" s="25" t="str">
        <f xml:space="preserve"> MapNameLkup</f>
        <v>m_ofs_trex_ar_invoices</v>
      </c>
      <c r="B234" s="1" t="s">
        <v>857</v>
      </c>
      <c r="C234" s="1" t="s">
        <v>142</v>
      </c>
      <c r="D234" s="1" t="s">
        <v>6</v>
      </c>
      <c r="E234" s="1" t="s">
        <v>853</v>
      </c>
      <c r="F234" s="1" t="s">
        <v>142</v>
      </c>
      <c r="G234" s="1" t="s">
        <v>863</v>
      </c>
      <c r="H234" s="10" t="str">
        <f>CONCATENATE(Connectors[[#This Row],[FROMINSTANCE]],"::",Connectors[[#This Row],[FROMFIELD]],"::",Connectors[[#This Row],[FROMINSTANCETYPE]])</f>
        <v>EXP_ins_upd::invoice_creation_date::Expression</v>
      </c>
      <c r="I234" s="10" t="str">
        <f>CONCATENATE(Connectors[[#This Row],[TOINSTANCE]],"::",Connectors[[#This Row],[TOFIELD]],"::",Connectors[[#This Row],[TOINSTANCETYPE]])</f>
        <v>FLTR_update::invoice_creation_date::Filter</v>
      </c>
    </row>
    <row r="235" spans="1:9" x14ac:dyDescent="0.25">
      <c r="A235" s="25" t="str">
        <f xml:space="preserve"> MapNameLkup</f>
        <v>m_ofs_trex_ar_invoices</v>
      </c>
      <c r="B235" s="1" t="s">
        <v>857</v>
      </c>
      <c r="C235" s="1" t="s">
        <v>143</v>
      </c>
      <c r="D235" s="1" t="s">
        <v>6</v>
      </c>
      <c r="E235" s="1" t="s">
        <v>853</v>
      </c>
      <c r="F235" s="1" t="s">
        <v>143</v>
      </c>
      <c r="G235" s="1" t="s">
        <v>863</v>
      </c>
      <c r="H235" s="10" t="str">
        <f>CONCATENATE(Connectors[[#This Row],[FROMINSTANCE]],"::",Connectors[[#This Row],[FROMFIELD]],"::",Connectors[[#This Row],[FROMINSTANCETYPE]])</f>
        <v>EXP_ins_upd::invoice_last_update_date::Expression</v>
      </c>
      <c r="I235" s="10" t="str">
        <f>CONCATENATE(Connectors[[#This Row],[TOINSTANCE]],"::",Connectors[[#This Row],[TOFIELD]],"::",Connectors[[#This Row],[TOINSTANCETYPE]])</f>
        <v>FLTR_update::invoice_last_update_date::Filter</v>
      </c>
    </row>
    <row r="236" spans="1:9" x14ac:dyDescent="0.25">
      <c r="A236" s="25" t="str">
        <f xml:space="preserve"> MapNameLkup</f>
        <v>m_ofs_trex_ar_invoices</v>
      </c>
      <c r="B236" s="1" t="s">
        <v>857</v>
      </c>
      <c r="C236" s="1" t="s">
        <v>128</v>
      </c>
      <c r="D236" s="1" t="s">
        <v>6</v>
      </c>
      <c r="E236" s="1" t="s">
        <v>853</v>
      </c>
      <c r="F236" s="1" t="s">
        <v>128</v>
      </c>
      <c r="G236" s="1" t="s">
        <v>863</v>
      </c>
      <c r="H236" s="10" t="str">
        <f>CONCATENATE(Connectors[[#This Row],[FROMINSTANCE]],"::",Connectors[[#This Row],[FROMFIELD]],"::",Connectors[[#This Row],[FROMINSTANCETYPE]])</f>
        <v>EXP_ins_upd::due_date::Expression</v>
      </c>
      <c r="I236" s="10" t="str">
        <f>CONCATENATE(Connectors[[#This Row],[TOINSTANCE]],"::",Connectors[[#This Row],[TOFIELD]],"::",Connectors[[#This Row],[TOINSTANCETYPE]])</f>
        <v>FLTR_update::due_date::Filter</v>
      </c>
    </row>
    <row r="237" spans="1:9" x14ac:dyDescent="0.25">
      <c r="A237" s="25" t="str">
        <f xml:space="preserve"> MapNameLkup</f>
        <v>m_ofs_trex_ar_invoices</v>
      </c>
      <c r="B237" s="1" t="s">
        <v>857</v>
      </c>
      <c r="C237" s="1" t="s">
        <v>139</v>
      </c>
      <c r="D237" s="1" t="s">
        <v>6</v>
      </c>
      <c r="E237" s="1" t="s">
        <v>853</v>
      </c>
      <c r="F237" s="1" t="s">
        <v>139</v>
      </c>
      <c r="G237" s="1" t="s">
        <v>863</v>
      </c>
      <c r="H237" s="10" t="str">
        <f>CONCATENATE(Connectors[[#This Row],[FROMINSTANCE]],"::",Connectors[[#This Row],[FROMFIELD]],"::",Connectors[[#This Row],[FROMINSTANCETYPE]])</f>
        <v>EXP_ins_upd::receipt_method::Expression</v>
      </c>
      <c r="I237" s="10" t="str">
        <f>CONCATENATE(Connectors[[#This Row],[TOINSTANCE]],"::",Connectors[[#This Row],[TOFIELD]],"::",Connectors[[#This Row],[TOINSTANCETYPE]])</f>
        <v>FLTR_update::receipt_method::Filter</v>
      </c>
    </row>
    <row r="238" spans="1:9" x14ac:dyDescent="0.25">
      <c r="A238" s="25" t="str">
        <f xml:space="preserve"> MapNameLkup</f>
        <v>m_ofs_trex_ar_invoices</v>
      </c>
      <c r="B238" s="1" t="s">
        <v>857</v>
      </c>
      <c r="C238" s="1" t="s">
        <v>881</v>
      </c>
      <c r="D238" s="1" t="s">
        <v>6</v>
      </c>
      <c r="E238" s="1" t="s">
        <v>853</v>
      </c>
      <c r="F238" s="1" t="s">
        <v>881</v>
      </c>
      <c r="G238" s="1" t="s">
        <v>863</v>
      </c>
      <c r="H238" s="10" t="str">
        <f>CONCATENATE(Connectors[[#This Row],[FROMINSTANCE]],"::",Connectors[[#This Row],[FROMFIELD]],"::",Connectors[[#This Row],[FROMINSTANCETYPE]])</f>
        <v>EXP_ins_upd::o_insert_or_update::Expression</v>
      </c>
      <c r="I238" s="10" t="str">
        <f>CONCATENATE(Connectors[[#This Row],[TOINSTANCE]],"::",Connectors[[#This Row],[TOFIELD]],"::",Connectors[[#This Row],[TOINSTANCETYPE]])</f>
        <v>FLTR_update::o_insert_or_update::Filter</v>
      </c>
    </row>
    <row r="239" spans="1:9" x14ac:dyDescent="0.25">
      <c r="A239" s="25" t="str">
        <f xml:space="preserve"> MapNameLkup</f>
        <v>m_ofs_trex_ar_invoices</v>
      </c>
      <c r="B239" s="1" t="s">
        <v>857</v>
      </c>
      <c r="C239" s="1" t="s">
        <v>146</v>
      </c>
      <c r="D239" s="1" t="s">
        <v>6</v>
      </c>
      <c r="E239" s="1" t="s">
        <v>853</v>
      </c>
      <c r="F239" s="1" t="s">
        <v>146</v>
      </c>
      <c r="G239" s="1" t="s">
        <v>863</v>
      </c>
      <c r="H239" s="10" t="str">
        <f>CONCATENATE(Connectors[[#This Row],[FROMINSTANCE]],"::",Connectors[[#This Row],[FROMFIELD]],"::",Connectors[[#This Row],[FROMINSTANCETYPE]])</f>
        <v>EXP_ins_upd::aud_dim_id::Expression</v>
      </c>
      <c r="I239" s="10" t="str">
        <f>CONCATENATE(Connectors[[#This Row],[TOINSTANCE]],"::",Connectors[[#This Row],[TOFIELD]],"::",Connectors[[#This Row],[TOINSTANCETYPE]])</f>
        <v>FLTR_update::aud_dim_id::Filter</v>
      </c>
    </row>
    <row r="240" spans="1:9" x14ac:dyDescent="0.25">
      <c r="A240" s="25" t="str">
        <f xml:space="preserve"> MapNameLkup</f>
        <v>m_ofs_trex_ar_invoices</v>
      </c>
      <c r="B240" s="1" t="s">
        <v>857</v>
      </c>
      <c r="C240" s="1" t="s">
        <v>147</v>
      </c>
      <c r="D240" s="1" t="s">
        <v>6</v>
      </c>
      <c r="E240" s="1" t="s">
        <v>853</v>
      </c>
      <c r="F240" s="1" t="s">
        <v>147</v>
      </c>
      <c r="G240" s="1" t="s">
        <v>863</v>
      </c>
      <c r="H240" s="10" t="str">
        <f>CONCATENATE(Connectors[[#This Row],[FROMINSTANCE]],"::",Connectors[[#This Row],[FROMFIELD]],"::",Connectors[[#This Row],[FROMINSTANCETYPE]])</f>
        <v>EXP_ins_upd::prcs_sts_cd::Expression</v>
      </c>
      <c r="I240" s="10" t="str">
        <f>CONCATENATE(Connectors[[#This Row],[TOINSTANCE]],"::",Connectors[[#This Row],[TOFIELD]],"::",Connectors[[#This Row],[TOINSTANCETYPE]])</f>
        <v>FLTR_update::prcs_sts_cd::Filter</v>
      </c>
    </row>
    <row r="241" spans="1:9" x14ac:dyDescent="0.25">
      <c r="A241" s="25" t="str">
        <f xml:space="preserve"> MapNameLkup</f>
        <v>m_ofs_trex_ar_invoices</v>
      </c>
      <c r="B241" s="1" t="s">
        <v>857</v>
      </c>
      <c r="C241" s="1" t="s">
        <v>879</v>
      </c>
      <c r="D241" s="1" t="s">
        <v>6</v>
      </c>
      <c r="E241" s="1" t="s">
        <v>853</v>
      </c>
      <c r="F241" s="1" t="s">
        <v>879</v>
      </c>
      <c r="G241" s="1" t="s">
        <v>863</v>
      </c>
      <c r="H241" s="10" t="str">
        <f>CONCATENATE(Connectors[[#This Row],[FROMINSTANCE]],"::",Connectors[[#This Row],[FROMFIELD]],"::",Connectors[[#This Row],[FROMINSTANCETYPE]])</f>
        <v>EXP_ins_upd::intf_sts_cd::Expression</v>
      </c>
      <c r="I241" s="10" t="str">
        <f>CONCATENATE(Connectors[[#This Row],[TOINSTANCE]],"::",Connectors[[#This Row],[TOFIELD]],"::",Connectors[[#This Row],[TOINSTANCETYPE]])</f>
        <v>FLTR_update::intf_sts_cd::Filter</v>
      </c>
    </row>
    <row r="242" spans="1:9" x14ac:dyDescent="0.25">
      <c r="A242" s="25" t="str">
        <f xml:space="preserve"> MapNameLkup</f>
        <v>m_ofs_trex_ar_invoices</v>
      </c>
      <c r="B242" s="1" t="s">
        <v>857</v>
      </c>
      <c r="C242" s="1" t="s">
        <v>880</v>
      </c>
      <c r="D242" s="1" t="s">
        <v>6</v>
      </c>
      <c r="E242" s="1" t="s">
        <v>853</v>
      </c>
      <c r="F242" s="1" t="s">
        <v>880</v>
      </c>
      <c r="G242" s="1" t="s">
        <v>863</v>
      </c>
      <c r="H242" s="10" t="str">
        <f>CONCATENATE(Connectors[[#This Row],[FROMINSTANCE]],"::",Connectors[[#This Row],[FROMFIELD]],"::",Connectors[[#This Row],[FROMINSTANCETYPE]])</f>
        <v>EXP_ins_upd::user_cd::Expression</v>
      </c>
      <c r="I242" s="10" t="str">
        <f>CONCATENATE(Connectors[[#This Row],[TOINSTANCE]],"::",Connectors[[#This Row],[TOFIELD]],"::",Connectors[[#This Row],[TOINSTANCETYPE]])</f>
        <v>FLTR_update::user_cd::Filter</v>
      </c>
    </row>
    <row r="243" spans="1:9" x14ac:dyDescent="0.25">
      <c r="A243" s="25" t="str">
        <f xml:space="preserve"> MapNameLkup</f>
        <v>m_ofs_trex_ar_invoices</v>
      </c>
      <c r="B243" s="1" t="s">
        <v>857</v>
      </c>
      <c r="C243" s="1" t="s">
        <v>871</v>
      </c>
      <c r="D243" s="1" t="s">
        <v>6</v>
      </c>
      <c r="E243" s="1" t="s">
        <v>853</v>
      </c>
      <c r="F243" s="1" t="s">
        <v>871</v>
      </c>
      <c r="G243" s="1" t="s">
        <v>863</v>
      </c>
      <c r="H243" s="10" t="str">
        <f>CONCATENATE(Connectors[[#This Row],[FROMINSTANCE]],"::",Connectors[[#This Row],[FROMFIELD]],"::",Connectors[[#This Row],[FROMINSTANCETYPE]])</f>
        <v>EXP_ins_upd::o_batch_source_id::Expression</v>
      </c>
      <c r="I243" s="10" t="str">
        <f>CONCATENATE(Connectors[[#This Row],[TOINSTANCE]],"::",Connectors[[#This Row],[TOFIELD]],"::",Connectors[[#This Row],[TOINSTANCETYPE]])</f>
        <v>FLTR_update::o_batch_source_id::Filter</v>
      </c>
    </row>
    <row r="244" spans="1:9" x14ac:dyDescent="0.25">
      <c r="A244" s="25" t="str">
        <f xml:space="preserve"> MapNameLkup</f>
        <v>m_ofs_trex_ar_invoices</v>
      </c>
      <c r="B244" s="1" t="s">
        <v>857</v>
      </c>
      <c r="C244" s="1" t="s">
        <v>119</v>
      </c>
      <c r="D244" s="1" t="s">
        <v>6</v>
      </c>
      <c r="E244" s="1" t="s">
        <v>853</v>
      </c>
      <c r="F244" s="1" t="s">
        <v>119</v>
      </c>
      <c r="G244" s="1" t="s">
        <v>863</v>
      </c>
      <c r="H244" s="10" t="str">
        <f>CONCATENATE(Connectors[[#This Row],[FROMINSTANCE]],"::",Connectors[[#This Row],[FROMFIELD]],"::",Connectors[[#This Row],[FROMINSTANCETYPE]])</f>
        <v>EXP_ins_upd::company::Expression</v>
      </c>
      <c r="I244" s="10" t="str">
        <f>CONCATENATE(Connectors[[#This Row],[TOINSTANCE]],"::",Connectors[[#This Row],[TOFIELD]],"::",Connectors[[#This Row],[TOINSTANCETYPE]])</f>
        <v>FLTR_update::company::Filter</v>
      </c>
    </row>
    <row r="245" spans="1:9" x14ac:dyDescent="0.25">
      <c r="A245" s="25" t="str">
        <f xml:space="preserve"> MapNameLkup</f>
        <v>m_ofs_trex_ar_invoices</v>
      </c>
      <c r="B245" s="1" t="s">
        <v>857</v>
      </c>
      <c r="C245" s="1" t="s">
        <v>874</v>
      </c>
      <c r="D245" s="1" t="s">
        <v>6</v>
      </c>
      <c r="E245" s="1" t="s">
        <v>853</v>
      </c>
      <c r="F245" s="1" t="s">
        <v>874</v>
      </c>
      <c r="G245" s="1" t="s">
        <v>863</v>
      </c>
      <c r="H245" s="10" t="str">
        <f>CONCATENATE(Connectors[[#This Row],[FROMINSTANCE]],"::",Connectors[[#This Row],[FROMFIELD]],"::",Connectors[[#This Row],[FROMINSTANCETYPE]])</f>
        <v>EXP_ins_upd::o_amount::Expression</v>
      </c>
      <c r="I245" s="10" t="str">
        <f>CONCATENATE(Connectors[[#This Row],[TOINSTANCE]],"::",Connectors[[#This Row],[TOFIELD]],"::",Connectors[[#This Row],[TOINSTANCETYPE]])</f>
        <v>FLTR_update::o_amount::Filter</v>
      </c>
    </row>
    <row r="246" spans="1:9" x14ac:dyDescent="0.25">
      <c r="A246" s="25" t="str">
        <f xml:space="preserve"> MapNameLkup</f>
        <v>m_ofs_trex_ar_invoices</v>
      </c>
      <c r="B246" s="1" t="s">
        <v>857</v>
      </c>
      <c r="C246" s="1" t="s">
        <v>875</v>
      </c>
      <c r="D246" s="1" t="s">
        <v>6</v>
      </c>
      <c r="E246" s="1" t="s">
        <v>853</v>
      </c>
      <c r="F246" s="1" t="s">
        <v>875</v>
      </c>
      <c r="G246" s="1" t="s">
        <v>863</v>
      </c>
      <c r="H246" s="10" t="str">
        <f>CONCATENATE(Connectors[[#This Row],[FROMINSTANCE]],"::",Connectors[[#This Row],[FROMFIELD]],"::",Connectors[[#This Row],[FROMINSTANCETYPE]])</f>
        <v>EXP_ins_upd::o_acctd_amount_applied_to::Expression</v>
      </c>
      <c r="I246" s="10" t="str">
        <f>CONCATENATE(Connectors[[#This Row],[TOINSTANCE]],"::",Connectors[[#This Row],[TOFIELD]],"::",Connectors[[#This Row],[TOINSTANCETYPE]])</f>
        <v>FLTR_update::o_acctd_amount_applied_to::Filter</v>
      </c>
    </row>
    <row r="247" spans="1:9" x14ac:dyDescent="0.25">
      <c r="A247" s="25" t="str">
        <f xml:space="preserve"> MapNameLkup</f>
        <v>m_ofs_trex_ar_invoices</v>
      </c>
      <c r="B247" s="1" t="s">
        <v>853</v>
      </c>
      <c r="C247" s="1" t="s">
        <v>879</v>
      </c>
      <c r="D247" s="1" t="s">
        <v>863</v>
      </c>
      <c r="E247" s="1" t="s">
        <v>854</v>
      </c>
      <c r="F247" s="1" t="s">
        <v>879</v>
      </c>
      <c r="G247" s="1" t="s">
        <v>66</v>
      </c>
      <c r="H247" s="10" t="str">
        <f>CONCATENATE(Connectors[[#This Row],[FROMINSTANCE]],"::",Connectors[[#This Row],[FROMFIELD]],"::",Connectors[[#This Row],[FROMINSTANCETYPE]])</f>
        <v>FLTR_update::intf_sts_cd::Filter</v>
      </c>
      <c r="I247" s="10" t="str">
        <f>CONCATENATE(Connectors[[#This Row],[TOINSTANCE]],"::",Connectors[[#This Row],[TOFIELD]],"::",Connectors[[#This Row],[TOINSTANCETYPE]])</f>
        <v>UPD_ofs_ar_invoices_update::intf_sts_cd::Update Strategy</v>
      </c>
    </row>
    <row r="248" spans="1:9" x14ac:dyDescent="0.25">
      <c r="A248" s="25" t="str">
        <f xml:space="preserve"> MapNameLkup</f>
        <v>m_ofs_trex_ar_invoices</v>
      </c>
      <c r="B248" s="1" t="s">
        <v>859</v>
      </c>
      <c r="C248" s="1" t="s">
        <v>872</v>
      </c>
      <c r="D248" s="1" t="s">
        <v>6</v>
      </c>
      <c r="E248" s="1" t="s">
        <v>855</v>
      </c>
      <c r="F248" s="1" t="s">
        <v>882</v>
      </c>
      <c r="G248" s="1" t="s">
        <v>67</v>
      </c>
      <c r="H248" s="10" t="str">
        <f>CONCATENATE(Connectors[[#This Row],[FROMINSTANCE]],"::",Connectors[[#This Row],[FROMFIELD]],"::",Connectors[[#This Row],[FROMINSTANCETYPE]])</f>
        <v>EXP_ofs_ar_invoices::o_customer_trx_id::Expression</v>
      </c>
      <c r="I248" s="10" t="str">
        <f>CONCATENATE(Connectors[[#This Row],[TOINSTANCE]],"::",Connectors[[#This Row],[TOFIELD]],"::",Connectors[[#This Row],[TOINSTANCETYPE]])</f>
        <v>LKP_ofs_ar_invoices::customer_trx_id_in::Lookup Procedure</v>
      </c>
    </row>
    <row r="249" spans="1:9" x14ac:dyDescent="0.25">
      <c r="A249" s="25" t="str">
        <f xml:space="preserve"> MapNameLkup</f>
        <v>m_ofs_trex_ar_invoices</v>
      </c>
      <c r="B249" s="1" t="s">
        <v>855</v>
      </c>
      <c r="C249" s="1" t="s">
        <v>112</v>
      </c>
      <c r="D249" s="1" t="s">
        <v>67</v>
      </c>
      <c r="E249" s="1" t="s">
        <v>857</v>
      </c>
      <c r="F249" s="1" t="s">
        <v>883</v>
      </c>
      <c r="G249" s="1" t="s">
        <v>6</v>
      </c>
      <c r="H249" s="10" t="str">
        <f>CONCATENATE(Connectors[[#This Row],[FROMINSTANCE]],"::",Connectors[[#This Row],[FROMFIELD]],"::",Connectors[[#This Row],[FROMINSTANCETYPE]])</f>
        <v>LKP_ofs_ar_invoices::invoice_rec_id::Lookup Procedure</v>
      </c>
      <c r="I249" s="10" t="str">
        <f>CONCATENATE(Connectors[[#This Row],[TOINSTANCE]],"::",Connectors[[#This Row],[TOFIELD]],"::",Connectors[[#This Row],[TOINSTANCETYPE]])</f>
        <v>EXP_ins_upd::lkp_invoice_rec_id::Expression</v>
      </c>
    </row>
    <row r="250" spans="1:9" x14ac:dyDescent="0.25">
      <c r="A250" s="25" t="str">
        <f xml:space="preserve"> MapNameLkup</f>
        <v>m_ofs_trex_ar_invoices</v>
      </c>
      <c r="B250" s="1" t="s">
        <v>855</v>
      </c>
      <c r="C250" s="1" t="s">
        <v>114</v>
      </c>
      <c r="D250" s="1" t="s">
        <v>67</v>
      </c>
      <c r="E250" s="1" t="s">
        <v>857</v>
      </c>
      <c r="F250" s="1" t="s">
        <v>884</v>
      </c>
      <c r="G250" s="1" t="s">
        <v>6</v>
      </c>
      <c r="H250" s="10" t="str">
        <f>CONCATENATE(Connectors[[#This Row],[FROMINSTANCE]],"::",Connectors[[#This Row],[FROMFIELD]],"::",Connectors[[#This Row],[FROMINSTANCETYPE]])</f>
        <v>LKP_ofs_ar_invoices::extn_sys_cd::Lookup Procedure</v>
      </c>
      <c r="I250" s="10" t="str">
        <f>CONCATENATE(Connectors[[#This Row],[TOINSTANCE]],"::",Connectors[[#This Row],[TOFIELD]],"::",Connectors[[#This Row],[TOINSTANCETYPE]])</f>
        <v>EXP_ins_upd::lkp_extn_sys_cd::Expression</v>
      </c>
    </row>
    <row r="251" spans="1:9" x14ac:dyDescent="0.25">
      <c r="A251" s="25" t="str">
        <f xml:space="preserve"> MapNameLkup</f>
        <v>m_ofs_trex_ar_invoices</v>
      </c>
      <c r="B251" s="1" t="s">
        <v>855</v>
      </c>
      <c r="C251" s="1" t="s">
        <v>115</v>
      </c>
      <c r="D251" s="1" t="s">
        <v>67</v>
      </c>
      <c r="E251" s="1" t="s">
        <v>857</v>
      </c>
      <c r="F251" s="1" t="s">
        <v>885</v>
      </c>
      <c r="G251" s="1" t="s">
        <v>6</v>
      </c>
      <c r="H251" s="10" t="str">
        <f>CONCATENATE(Connectors[[#This Row],[FROMINSTANCE]],"::",Connectors[[#This Row],[FROMFIELD]],"::",Connectors[[#This Row],[FROMINSTANCETYPE]])</f>
        <v>LKP_ofs_ar_invoices::batch_id::Lookup Procedure</v>
      </c>
      <c r="I251" s="10" t="str">
        <f>CONCATENATE(Connectors[[#This Row],[TOINSTANCE]],"::",Connectors[[#This Row],[TOFIELD]],"::",Connectors[[#This Row],[TOINSTANCETYPE]])</f>
        <v>EXP_ins_upd::lkp_batch_id::Expression</v>
      </c>
    </row>
    <row r="252" spans="1:9" x14ac:dyDescent="0.25">
      <c r="A252" s="25" t="str">
        <f xml:space="preserve"> MapNameLkup</f>
        <v>m_ofs_trex_ar_invoices</v>
      </c>
      <c r="B252" s="1" t="s">
        <v>855</v>
      </c>
      <c r="C252" s="1" t="s">
        <v>116</v>
      </c>
      <c r="D252" s="1" t="s">
        <v>67</v>
      </c>
      <c r="E252" s="1" t="s">
        <v>857</v>
      </c>
      <c r="F252" s="1" t="s">
        <v>886</v>
      </c>
      <c r="G252" s="1" t="s">
        <v>6</v>
      </c>
      <c r="H252" s="10" t="str">
        <f>CONCATENATE(Connectors[[#This Row],[FROMINSTANCE]],"::",Connectors[[#This Row],[FROMFIELD]],"::",Connectors[[#This Row],[FROMINSTANCETYPE]])</f>
        <v>LKP_ofs_ar_invoices::batch_name::Lookup Procedure</v>
      </c>
      <c r="I252" s="10" t="str">
        <f>CONCATENATE(Connectors[[#This Row],[TOINSTANCE]],"::",Connectors[[#This Row],[TOFIELD]],"::",Connectors[[#This Row],[TOINSTANCETYPE]])</f>
        <v>EXP_ins_upd::lkp_batch_name::Expression</v>
      </c>
    </row>
    <row r="253" spans="1:9" x14ac:dyDescent="0.25">
      <c r="A253" s="25" t="str">
        <f xml:space="preserve"> MapNameLkup</f>
        <v>m_ofs_trex_ar_invoices</v>
      </c>
      <c r="B253" s="1" t="s">
        <v>855</v>
      </c>
      <c r="C253" s="1" t="s">
        <v>117</v>
      </c>
      <c r="D253" s="1" t="s">
        <v>67</v>
      </c>
      <c r="E253" s="1" t="s">
        <v>857</v>
      </c>
      <c r="F253" s="1" t="s">
        <v>887</v>
      </c>
      <c r="G253" s="1" t="s">
        <v>6</v>
      </c>
      <c r="H253" s="10" t="str">
        <f>CONCATENATE(Connectors[[#This Row],[FROMINSTANCE]],"::",Connectors[[#This Row],[FROMFIELD]],"::",Connectors[[#This Row],[FROMINSTANCETYPE]])</f>
        <v>LKP_ofs_ar_invoices::org_id::Lookup Procedure</v>
      </c>
      <c r="I253" s="10" t="str">
        <f>CONCATENATE(Connectors[[#This Row],[TOINSTANCE]],"::",Connectors[[#This Row],[TOFIELD]],"::",Connectors[[#This Row],[TOINSTANCETYPE]])</f>
        <v>EXP_ins_upd::lkp_org_id::Expression</v>
      </c>
    </row>
    <row r="254" spans="1:9" x14ac:dyDescent="0.25">
      <c r="A254" s="25" t="str">
        <f xml:space="preserve"> MapNameLkup</f>
        <v>m_ofs_trex_ar_invoices</v>
      </c>
      <c r="B254" s="1" t="s">
        <v>855</v>
      </c>
      <c r="C254" s="1" t="s">
        <v>118</v>
      </c>
      <c r="D254" s="1" t="s">
        <v>67</v>
      </c>
      <c r="E254" s="1" t="s">
        <v>857</v>
      </c>
      <c r="F254" s="1" t="s">
        <v>888</v>
      </c>
      <c r="G254" s="1" t="s">
        <v>6</v>
      </c>
      <c r="H254" s="10" t="str">
        <f>CONCATENATE(Connectors[[#This Row],[FROMINSTANCE]],"::",Connectors[[#This Row],[FROMFIELD]],"::",Connectors[[#This Row],[FROMINSTANCETYPE]])</f>
        <v>LKP_ofs_ar_invoices::batch_source_id::Lookup Procedure</v>
      </c>
      <c r="I254" s="10" t="str">
        <f>CONCATENATE(Connectors[[#This Row],[TOINSTANCE]],"::",Connectors[[#This Row],[TOFIELD]],"::",Connectors[[#This Row],[TOINSTANCETYPE]])</f>
        <v>EXP_ins_upd::lkp_batch_source_id::Expression</v>
      </c>
    </row>
    <row r="255" spans="1:9" x14ac:dyDescent="0.25">
      <c r="A255" s="25" t="str">
        <f xml:space="preserve"> MapNameLkup</f>
        <v>m_ofs_trex_ar_invoices</v>
      </c>
      <c r="B255" s="1" t="s">
        <v>855</v>
      </c>
      <c r="C255" s="1" t="s">
        <v>119</v>
      </c>
      <c r="D255" s="1" t="s">
        <v>67</v>
      </c>
      <c r="E255" s="1" t="s">
        <v>857</v>
      </c>
      <c r="F255" s="1" t="s">
        <v>889</v>
      </c>
      <c r="G255" s="1" t="s">
        <v>6</v>
      </c>
      <c r="H255" s="10" t="str">
        <f>CONCATENATE(Connectors[[#This Row],[FROMINSTANCE]],"::",Connectors[[#This Row],[FROMFIELD]],"::",Connectors[[#This Row],[FROMINSTANCETYPE]])</f>
        <v>LKP_ofs_ar_invoices::company::Lookup Procedure</v>
      </c>
      <c r="I255" s="10" t="str">
        <f>CONCATENATE(Connectors[[#This Row],[TOINSTANCE]],"::",Connectors[[#This Row],[TOFIELD]],"::",Connectors[[#This Row],[TOINSTANCETYPE]])</f>
        <v>EXP_ins_upd::lkp_company::Expression</v>
      </c>
    </row>
    <row r="256" spans="1:9" x14ac:dyDescent="0.25">
      <c r="A256" s="25" t="str">
        <f xml:space="preserve"> MapNameLkup</f>
        <v>m_ofs_trex_ar_invoices</v>
      </c>
      <c r="B256" s="1" t="s">
        <v>855</v>
      </c>
      <c r="C256" s="1" t="s">
        <v>120</v>
      </c>
      <c r="D256" s="1" t="s">
        <v>67</v>
      </c>
      <c r="E256" s="1" t="s">
        <v>857</v>
      </c>
      <c r="F256" s="1" t="s">
        <v>890</v>
      </c>
      <c r="G256" s="1" t="s">
        <v>6</v>
      </c>
      <c r="H256" s="10" t="str">
        <f>CONCATENATE(Connectors[[#This Row],[FROMINSTANCE]],"::",Connectors[[#This Row],[FROMFIELD]],"::",Connectors[[#This Row],[FROMINSTANCETYPE]])</f>
        <v>LKP_ofs_ar_invoices::company_description::Lookup Procedure</v>
      </c>
      <c r="I256" s="10" t="str">
        <f>CONCATENATE(Connectors[[#This Row],[TOINSTANCE]],"::",Connectors[[#This Row],[TOFIELD]],"::",Connectors[[#This Row],[TOINSTANCETYPE]])</f>
        <v>EXP_ins_upd::lkp_company_description::Expression</v>
      </c>
    </row>
    <row r="257" spans="1:9" x14ac:dyDescent="0.25">
      <c r="A257" s="25" t="str">
        <f xml:space="preserve"> MapNameLkup</f>
        <v>m_ofs_trex_ar_invoices</v>
      </c>
      <c r="B257" s="1" t="s">
        <v>855</v>
      </c>
      <c r="C257" s="1" t="s">
        <v>121</v>
      </c>
      <c r="D257" s="1" t="s">
        <v>67</v>
      </c>
      <c r="E257" s="1" t="s">
        <v>857</v>
      </c>
      <c r="F257" s="1" t="s">
        <v>891</v>
      </c>
      <c r="G257" s="1" t="s">
        <v>6</v>
      </c>
      <c r="H257" s="10" t="str">
        <f>CONCATENATE(Connectors[[#This Row],[FROMINSTANCE]],"::",Connectors[[#This Row],[FROMFIELD]],"::",Connectors[[#This Row],[FROMINSTANCETYPE]])</f>
        <v>LKP_ofs_ar_invoices::account_number::Lookup Procedure</v>
      </c>
      <c r="I257" s="10" t="str">
        <f>CONCATENATE(Connectors[[#This Row],[TOINSTANCE]],"::",Connectors[[#This Row],[TOFIELD]],"::",Connectors[[#This Row],[TOINSTANCETYPE]])</f>
        <v>EXP_ins_upd::lkp_account_number::Expression</v>
      </c>
    </row>
    <row r="258" spans="1:9" x14ac:dyDescent="0.25">
      <c r="A258" s="25" t="str">
        <f xml:space="preserve"> MapNameLkup</f>
        <v>m_ofs_trex_ar_invoices</v>
      </c>
      <c r="B258" s="1" t="s">
        <v>855</v>
      </c>
      <c r="C258" s="1" t="s">
        <v>122</v>
      </c>
      <c r="D258" s="1" t="s">
        <v>67</v>
      </c>
      <c r="E258" s="1" t="s">
        <v>857</v>
      </c>
      <c r="F258" s="1" t="s">
        <v>892</v>
      </c>
      <c r="G258" s="1" t="s">
        <v>6</v>
      </c>
      <c r="H258" s="10" t="str">
        <f>CONCATENATE(Connectors[[#This Row],[FROMINSTANCE]],"::",Connectors[[#This Row],[FROMFIELD]],"::",Connectors[[#This Row],[FROMINSTANCETYPE]])</f>
        <v>LKP_ofs_ar_invoices::party_name::Lookup Procedure</v>
      </c>
      <c r="I258" s="10" t="str">
        <f>CONCATENATE(Connectors[[#This Row],[TOINSTANCE]],"::",Connectors[[#This Row],[TOFIELD]],"::",Connectors[[#This Row],[TOINSTANCETYPE]])</f>
        <v>EXP_ins_upd::lkp_party_name::Expression</v>
      </c>
    </row>
    <row r="259" spans="1:9" x14ac:dyDescent="0.25">
      <c r="A259" s="25" t="str">
        <f xml:space="preserve"> MapNameLkup</f>
        <v>m_ofs_trex_ar_invoices</v>
      </c>
      <c r="B259" s="1" t="s">
        <v>855</v>
      </c>
      <c r="C259" s="1" t="s">
        <v>125</v>
      </c>
      <c r="D259" s="1" t="s">
        <v>67</v>
      </c>
      <c r="E259" s="1" t="s">
        <v>857</v>
      </c>
      <c r="F259" s="1" t="s">
        <v>895</v>
      </c>
      <c r="G259" s="1" t="s">
        <v>6</v>
      </c>
      <c r="H259" s="10" t="str">
        <f>CONCATENATE(Connectors[[#This Row],[FROMINSTANCE]],"::",Connectors[[#This Row],[FROMFIELD]],"::",Connectors[[#This Row],[FROMINSTANCETYPE]])</f>
        <v>LKP_ofs_ar_invoices::kme_ar_inv_no::Lookup Procedure</v>
      </c>
      <c r="I259" s="10" t="str">
        <f>CONCATENATE(Connectors[[#This Row],[TOINSTANCE]],"::",Connectors[[#This Row],[TOFIELD]],"::",Connectors[[#This Row],[TOINSTANCETYPE]])</f>
        <v>EXP_ins_upd::lkp_kme_ar_inv_no::Expression</v>
      </c>
    </row>
    <row r="260" spans="1:9" x14ac:dyDescent="0.25">
      <c r="A260" s="25" t="str">
        <f xml:space="preserve"> MapNameLkup</f>
        <v>m_ofs_trex_ar_invoices</v>
      </c>
      <c r="B260" s="1" t="s">
        <v>855</v>
      </c>
      <c r="C260" s="1" t="s">
        <v>123</v>
      </c>
      <c r="D260" s="1" t="s">
        <v>67</v>
      </c>
      <c r="E260" s="1" t="s">
        <v>857</v>
      </c>
      <c r="F260" s="1" t="s">
        <v>893</v>
      </c>
      <c r="G260" s="1" t="s">
        <v>6</v>
      </c>
      <c r="H260" s="10" t="str">
        <f>CONCATENATE(Connectors[[#This Row],[FROMINSTANCE]],"::",Connectors[[#This Row],[FROMFIELD]],"::",Connectors[[#This Row],[FROMINSTANCETYPE]])</f>
        <v>LKP_ofs_ar_invoices::customer_trx_id::Lookup Procedure</v>
      </c>
      <c r="I260" s="10" t="str">
        <f>CONCATENATE(Connectors[[#This Row],[TOINSTANCE]],"::",Connectors[[#This Row],[TOFIELD]],"::",Connectors[[#This Row],[TOINSTANCETYPE]])</f>
        <v>EXP_ins_upd::lkp_customer_trx_id::Expression</v>
      </c>
    </row>
    <row r="261" spans="1:9" x14ac:dyDescent="0.25">
      <c r="A261" s="25" t="str">
        <f xml:space="preserve"> MapNameLkup</f>
        <v>m_ofs_trex_ar_invoices</v>
      </c>
      <c r="B261" s="1" t="s">
        <v>855</v>
      </c>
      <c r="C261" s="1" t="s">
        <v>124</v>
      </c>
      <c r="D261" s="1" t="s">
        <v>67</v>
      </c>
      <c r="E261" s="1" t="s">
        <v>857</v>
      </c>
      <c r="F261" s="1" t="s">
        <v>894</v>
      </c>
      <c r="G261" s="1" t="s">
        <v>6</v>
      </c>
      <c r="H261" s="10" t="str">
        <f>CONCATENATE(Connectors[[#This Row],[FROMINSTANCE]],"::",Connectors[[#This Row],[FROMFIELD]],"::",Connectors[[#This Row],[FROMINSTANCETYPE]])</f>
        <v>LKP_ofs_ar_invoices::invoice_number::Lookup Procedure</v>
      </c>
      <c r="I261" s="10" t="str">
        <f>CONCATENATE(Connectors[[#This Row],[TOINSTANCE]],"::",Connectors[[#This Row],[TOFIELD]],"::",Connectors[[#This Row],[TOINSTANCETYPE]])</f>
        <v>EXP_ins_upd::lkp_invoice_number::Expression</v>
      </c>
    </row>
    <row r="262" spans="1:9" x14ac:dyDescent="0.25">
      <c r="A262" s="25" t="str">
        <f xml:space="preserve"> MapNameLkup</f>
        <v>m_ofs_trex_ar_invoices</v>
      </c>
      <c r="B262" s="1" t="s">
        <v>855</v>
      </c>
      <c r="C262" s="1" t="s">
        <v>126</v>
      </c>
      <c r="D262" s="1" t="s">
        <v>67</v>
      </c>
      <c r="E262" s="1" t="s">
        <v>857</v>
      </c>
      <c r="F262" s="1" t="s">
        <v>896</v>
      </c>
      <c r="G262" s="1" t="s">
        <v>6</v>
      </c>
      <c r="H262" s="10" t="str">
        <f>CONCATENATE(Connectors[[#This Row],[FROMINSTANCE]],"::",Connectors[[#This Row],[FROMFIELD]],"::",Connectors[[#This Row],[FROMINSTANCETYPE]])</f>
        <v>LKP_ofs_ar_invoices::kme_ar_inv_amd_no::Lookup Procedure</v>
      </c>
      <c r="I262" s="10" t="str">
        <f>CONCATENATE(Connectors[[#This Row],[TOINSTANCE]],"::",Connectors[[#This Row],[TOFIELD]],"::",Connectors[[#This Row],[TOINSTANCETYPE]])</f>
        <v>EXP_ins_upd::lkp_kme_ar_inv_amd_no::Expression</v>
      </c>
    </row>
    <row r="263" spans="1:9" x14ac:dyDescent="0.25">
      <c r="A263" s="25" t="str">
        <f xml:space="preserve"> MapNameLkup</f>
        <v>m_ofs_trex_ar_invoices</v>
      </c>
      <c r="B263" s="1" t="s">
        <v>855</v>
      </c>
      <c r="C263" s="1" t="s">
        <v>127</v>
      </c>
      <c r="D263" s="1" t="s">
        <v>67</v>
      </c>
      <c r="E263" s="1" t="s">
        <v>857</v>
      </c>
      <c r="F263" s="1" t="s">
        <v>897</v>
      </c>
      <c r="G263" s="1" t="s">
        <v>6</v>
      </c>
      <c r="H263" s="10" t="str">
        <f>CONCATENATE(Connectors[[#This Row],[FROMINSTANCE]],"::",Connectors[[#This Row],[FROMFIELD]],"::",Connectors[[#This Row],[FROMINSTANCETYPE]])</f>
        <v>LKP_ofs_ar_invoices::invoice_date::Lookup Procedure</v>
      </c>
      <c r="I263" s="10" t="str">
        <f>CONCATENATE(Connectors[[#This Row],[TOINSTANCE]],"::",Connectors[[#This Row],[TOFIELD]],"::",Connectors[[#This Row],[TOINSTANCETYPE]])</f>
        <v>EXP_ins_upd::lkp_invoice_date::Expression</v>
      </c>
    </row>
    <row r="264" spans="1:9" x14ac:dyDescent="0.25">
      <c r="A264" s="25" t="str">
        <f xml:space="preserve"> MapNameLkup</f>
        <v>m_ofs_trex_ar_invoices</v>
      </c>
      <c r="B264" s="1" t="s">
        <v>855</v>
      </c>
      <c r="C264" s="1" t="s">
        <v>128</v>
      </c>
      <c r="D264" s="1" t="s">
        <v>67</v>
      </c>
      <c r="E264" s="1" t="s">
        <v>857</v>
      </c>
      <c r="F264" s="1" t="s">
        <v>898</v>
      </c>
      <c r="G264" s="1" t="s">
        <v>6</v>
      </c>
      <c r="H264" s="10" t="str">
        <f>CONCATENATE(Connectors[[#This Row],[FROMINSTANCE]],"::",Connectors[[#This Row],[FROMFIELD]],"::",Connectors[[#This Row],[FROMINSTANCETYPE]])</f>
        <v>LKP_ofs_ar_invoices::due_date::Lookup Procedure</v>
      </c>
      <c r="I264" s="10" t="str">
        <f>CONCATENATE(Connectors[[#This Row],[TOINSTANCE]],"::",Connectors[[#This Row],[TOFIELD]],"::",Connectors[[#This Row],[TOINSTANCETYPE]])</f>
        <v>EXP_ins_upd::lkp_due_date::Expression</v>
      </c>
    </row>
    <row r="265" spans="1:9" x14ac:dyDescent="0.25">
      <c r="A265" s="25" t="str">
        <f xml:space="preserve"> MapNameLkup</f>
        <v>m_ofs_trex_ar_invoices</v>
      </c>
      <c r="B265" s="1" t="s">
        <v>855</v>
      </c>
      <c r="C265" s="1" t="s">
        <v>129</v>
      </c>
      <c r="D265" s="1" t="s">
        <v>67</v>
      </c>
      <c r="E265" s="1" t="s">
        <v>857</v>
      </c>
      <c r="F265" s="1" t="s">
        <v>899</v>
      </c>
      <c r="G265" s="1" t="s">
        <v>6</v>
      </c>
      <c r="H265" s="10" t="str">
        <f>CONCATENATE(Connectors[[#This Row],[FROMINSTANCE]],"::",Connectors[[#This Row],[FROMFIELD]],"::",Connectors[[#This Row],[FROMINSTANCETYPE]])</f>
        <v>LKP_ofs_ar_invoices::offset_nat_acct_no::Lookup Procedure</v>
      </c>
      <c r="I265" s="10" t="str">
        <f>CONCATENATE(Connectors[[#This Row],[TOINSTANCE]],"::",Connectors[[#This Row],[TOFIELD]],"::",Connectors[[#This Row],[TOINSTANCETYPE]])</f>
        <v>EXP_ins_upd::lkp_offset_nat_acct_no::Expression</v>
      </c>
    </row>
    <row r="266" spans="1:9" x14ac:dyDescent="0.25">
      <c r="A266" s="25" t="str">
        <f xml:space="preserve"> MapNameLkup</f>
        <v>m_ofs_trex_ar_invoices</v>
      </c>
      <c r="B266" s="1" t="s">
        <v>855</v>
      </c>
      <c r="C266" s="1" t="s">
        <v>130</v>
      </c>
      <c r="D266" s="1" t="s">
        <v>67</v>
      </c>
      <c r="E266" s="1" t="s">
        <v>857</v>
      </c>
      <c r="F266" s="1" t="s">
        <v>900</v>
      </c>
      <c r="G266" s="1" t="s">
        <v>6</v>
      </c>
      <c r="H266" s="10" t="str">
        <f>CONCATENATE(Connectors[[#This Row],[FROMINSTANCE]],"::",Connectors[[#This Row],[FROMFIELD]],"::",Connectors[[#This Row],[FROMINSTANCETYPE]])</f>
        <v>LKP_ofs_ar_invoices::transaction_type::Lookup Procedure</v>
      </c>
      <c r="I266" s="10" t="str">
        <f>CONCATENATE(Connectors[[#This Row],[TOINSTANCE]],"::",Connectors[[#This Row],[TOFIELD]],"::",Connectors[[#This Row],[TOINSTANCETYPE]])</f>
        <v>EXP_ins_upd::lkp_transaction_type::Expression</v>
      </c>
    </row>
    <row r="267" spans="1:9" x14ac:dyDescent="0.25">
      <c r="A267" s="25" t="str">
        <f xml:space="preserve"> MapNameLkup</f>
        <v>m_ofs_trex_ar_invoices</v>
      </c>
      <c r="B267" s="1" t="s">
        <v>855</v>
      </c>
      <c r="C267" s="1" t="s">
        <v>131</v>
      </c>
      <c r="D267" s="1" t="s">
        <v>67</v>
      </c>
      <c r="E267" s="1" t="s">
        <v>857</v>
      </c>
      <c r="F267" s="1" t="s">
        <v>901</v>
      </c>
      <c r="G267" s="1" t="s">
        <v>6</v>
      </c>
      <c r="H267" s="10" t="str">
        <f>CONCATENATE(Connectors[[#This Row],[FROMINSTANCE]],"::",Connectors[[#This Row],[FROMFIELD]],"::",Connectors[[#This Row],[FROMINSTANCETYPE]])</f>
        <v>LKP_ofs_ar_invoices::acctd_amount::Lookup Procedure</v>
      </c>
      <c r="I267" s="10" t="str">
        <f>CONCATENATE(Connectors[[#This Row],[TOINSTANCE]],"::",Connectors[[#This Row],[TOFIELD]],"::",Connectors[[#This Row],[TOINSTANCETYPE]])</f>
        <v>EXP_ins_upd::lkp_acctd_amount::Expression</v>
      </c>
    </row>
    <row r="268" spans="1:9" x14ac:dyDescent="0.25">
      <c r="A268" s="25" t="str">
        <f xml:space="preserve"> MapNameLkup</f>
        <v>m_ofs_trex_ar_invoices</v>
      </c>
      <c r="B268" s="1" t="s">
        <v>855</v>
      </c>
      <c r="C268" s="1" t="s">
        <v>132</v>
      </c>
      <c r="D268" s="1" t="s">
        <v>67</v>
      </c>
      <c r="E268" s="1" t="s">
        <v>857</v>
      </c>
      <c r="F268" s="1" t="s">
        <v>902</v>
      </c>
      <c r="G268" s="1" t="s">
        <v>6</v>
      </c>
      <c r="H268" s="10" t="str">
        <f>CONCATENATE(Connectors[[#This Row],[FROMINSTANCE]],"::",Connectors[[#This Row],[FROMFIELD]],"::",Connectors[[#This Row],[FROMINSTANCETYPE]])</f>
        <v>LKP_ofs_ar_invoices::amount::Lookup Procedure</v>
      </c>
      <c r="I268" s="10" t="str">
        <f>CONCATENATE(Connectors[[#This Row],[TOINSTANCE]],"::",Connectors[[#This Row],[TOFIELD]],"::",Connectors[[#This Row],[TOINSTANCETYPE]])</f>
        <v>EXP_ins_upd::lkp_amount::Expression</v>
      </c>
    </row>
    <row r="269" spans="1:9" x14ac:dyDescent="0.25">
      <c r="A269" s="25" t="str">
        <f xml:space="preserve"> MapNameLkup</f>
        <v>m_ofs_trex_ar_invoices</v>
      </c>
      <c r="B269" s="1" t="s">
        <v>855</v>
      </c>
      <c r="C269" s="1" t="s">
        <v>133</v>
      </c>
      <c r="D269" s="1" t="s">
        <v>67</v>
      </c>
      <c r="E269" s="1" t="s">
        <v>857</v>
      </c>
      <c r="F269" s="1" t="s">
        <v>903</v>
      </c>
      <c r="G269" s="1" t="s">
        <v>6</v>
      </c>
      <c r="H269" s="10" t="str">
        <f>CONCATENATE(Connectors[[#This Row],[FROMINSTANCE]],"::",Connectors[[#This Row],[FROMFIELD]],"::",Connectors[[#This Row],[FROMINSTANCETYPE]])</f>
        <v>LKP_ofs_ar_invoices::acctd_amount_applied_to::Lookup Procedure</v>
      </c>
      <c r="I269" s="10" t="str">
        <f>CONCATENATE(Connectors[[#This Row],[TOINSTANCE]],"::",Connectors[[#This Row],[TOFIELD]],"::",Connectors[[#This Row],[TOINSTANCETYPE]])</f>
        <v>EXP_ins_upd::lkp_acctd_amount_applied_to::Expression</v>
      </c>
    </row>
    <row r="270" spans="1:9" x14ac:dyDescent="0.25">
      <c r="A270" s="25" t="str">
        <f xml:space="preserve"> MapNameLkup</f>
        <v>m_ofs_trex_ar_invoices</v>
      </c>
      <c r="B270" s="1" t="s">
        <v>855</v>
      </c>
      <c r="C270" s="1" t="s">
        <v>134</v>
      </c>
      <c r="D270" s="1" t="s">
        <v>67</v>
      </c>
      <c r="E270" s="1" t="s">
        <v>857</v>
      </c>
      <c r="F270" s="1" t="s">
        <v>904</v>
      </c>
      <c r="G270" s="1" t="s">
        <v>6</v>
      </c>
      <c r="H270" s="10" t="str">
        <f>CONCATENATE(Connectors[[#This Row],[FROMINSTANCE]],"::",Connectors[[#This Row],[FROMFIELD]],"::",Connectors[[#This Row],[FROMINSTANCETYPE]])</f>
        <v>LKP_ofs_ar_invoices::amount_applied::Lookup Procedure</v>
      </c>
      <c r="I270" s="10" t="str">
        <f>CONCATENATE(Connectors[[#This Row],[TOINSTANCE]],"::",Connectors[[#This Row],[TOFIELD]],"::",Connectors[[#This Row],[TOINSTANCETYPE]])</f>
        <v>EXP_ins_upd::lkp_amount_applied::Expression</v>
      </c>
    </row>
    <row r="271" spans="1:9" x14ac:dyDescent="0.25">
      <c r="A271" s="25" t="str">
        <f xml:space="preserve"> MapNameLkup</f>
        <v>m_ofs_trex_ar_invoices</v>
      </c>
      <c r="B271" s="1" t="s">
        <v>855</v>
      </c>
      <c r="C271" s="1" t="s">
        <v>135</v>
      </c>
      <c r="D271" s="1" t="s">
        <v>67</v>
      </c>
      <c r="E271" s="1" t="s">
        <v>857</v>
      </c>
      <c r="F271" s="1" t="s">
        <v>905</v>
      </c>
      <c r="G271" s="1" t="s">
        <v>6</v>
      </c>
      <c r="H271" s="10" t="str">
        <f>CONCATENATE(Connectors[[#This Row],[FROMINSTANCE]],"::",Connectors[[#This Row],[FROMFIELD]],"::",Connectors[[#This Row],[FROMINSTANCETYPE]])</f>
        <v>LKP_ofs_ar_invoices::acctd_amount_due_remaining::Lookup Procedure</v>
      </c>
      <c r="I271" s="10" t="str">
        <f>CONCATENATE(Connectors[[#This Row],[TOINSTANCE]],"::",Connectors[[#This Row],[TOFIELD]],"::",Connectors[[#This Row],[TOINSTANCETYPE]])</f>
        <v>EXP_ins_upd::lkp_acctd_amount_due_remaining::Expression</v>
      </c>
    </row>
    <row r="272" spans="1:9" x14ac:dyDescent="0.25">
      <c r="A272" s="25" t="str">
        <f xml:space="preserve"> MapNameLkup</f>
        <v>m_ofs_trex_ar_invoices</v>
      </c>
      <c r="B272" s="1" t="s">
        <v>855</v>
      </c>
      <c r="C272" s="1" t="s">
        <v>136</v>
      </c>
      <c r="D272" s="1" t="s">
        <v>67</v>
      </c>
      <c r="E272" s="1" t="s">
        <v>857</v>
      </c>
      <c r="F272" s="1" t="s">
        <v>906</v>
      </c>
      <c r="G272" s="1" t="s">
        <v>6</v>
      </c>
      <c r="H272" s="10" t="str">
        <f>CONCATENATE(Connectors[[#This Row],[FROMINSTANCE]],"::",Connectors[[#This Row],[FROMFIELD]],"::",Connectors[[#This Row],[FROMINSTANCETYPE]])</f>
        <v>LKP_ofs_ar_invoices::amount_due_remaining::Lookup Procedure</v>
      </c>
      <c r="I272" s="10" t="str">
        <f>CONCATENATE(Connectors[[#This Row],[TOINSTANCE]],"::",Connectors[[#This Row],[TOFIELD]],"::",Connectors[[#This Row],[TOINSTANCETYPE]])</f>
        <v>EXP_ins_upd::lkp_amount_due_remaining::Expression</v>
      </c>
    </row>
    <row r="273" spans="1:9" x14ac:dyDescent="0.25">
      <c r="A273" s="25" t="str">
        <f xml:space="preserve"> MapNameLkup</f>
        <v>m_ofs_trex_ar_invoices</v>
      </c>
      <c r="B273" s="1" t="s">
        <v>855</v>
      </c>
      <c r="C273" s="1" t="s">
        <v>137</v>
      </c>
      <c r="D273" s="1" t="s">
        <v>67</v>
      </c>
      <c r="E273" s="1" t="s">
        <v>857</v>
      </c>
      <c r="F273" s="1" t="s">
        <v>907</v>
      </c>
      <c r="G273" s="1" t="s">
        <v>6</v>
      </c>
      <c r="H273" s="10" t="str">
        <f>CONCATENATE(Connectors[[#This Row],[FROMINSTANCE]],"::",Connectors[[#This Row],[FROMFIELD]],"::",Connectors[[#This Row],[FROMINSTANCETYPE]])</f>
        <v>LKP_ofs_ar_invoices::currency_code::Lookup Procedure</v>
      </c>
      <c r="I273" s="10" t="str">
        <f>CONCATENATE(Connectors[[#This Row],[TOINSTANCE]],"::",Connectors[[#This Row],[TOFIELD]],"::",Connectors[[#This Row],[TOINSTANCETYPE]])</f>
        <v>EXP_ins_upd::lkp_currency_code::Expression</v>
      </c>
    </row>
    <row r="274" spans="1:9" x14ac:dyDescent="0.25">
      <c r="A274" s="25" t="str">
        <f xml:space="preserve"> MapNameLkup</f>
        <v>m_ofs_trex_ar_invoices</v>
      </c>
      <c r="B274" s="1" t="s">
        <v>855</v>
      </c>
      <c r="C274" s="1" t="s">
        <v>138</v>
      </c>
      <c r="D274" s="1" t="s">
        <v>67</v>
      </c>
      <c r="E274" s="1" t="s">
        <v>857</v>
      </c>
      <c r="F274" s="1" t="s">
        <v>908</v>
      </c>
      <c r="G274" s="1" t="s">
        <v>6</v>
      </c>
      <c r="H274" s="10" t="str">
        <f>CONCATENATE(Connectors[[#This Row],[FROMINSTANCE]],"::",Connectors[[#This Row],[FROMFIELD]],"::",Connectors[[#This Row],[FROMINSTANCETYPE]])</f>
        <v>LKP_ofs_ar_invoices::payment_terms::Lookup Procedure</v>
      </c>
      <c r="I274" s="10" t="str">
        <f>CONCATENATE(Connectors[[#This Row],[TOINSTANCE]],"::",Connectors[[#This Row],[TOFIELD]],"::",Connectors[[#This Row],[TOINSTANCETYPE]])</f>
        <v>EXP_ins_upd::lkp_payment_terms::Expression</v>
      </c>
    </row>
    <row r="275" spans="1:9" x14ac:dyDescent="0.25">
      <c r="A275" s="25" t="str">
        <f xml:space="preserve"> MapNameLkup</f>
        <v>m_ofs_trex_ar_invoices</v>
      </c>
      <c r="B275" s="1" t="s">
        <v>855</v>
      </c>
      <c r="C275" s="1" t="s">
        <v>139</v>
      </c>
      <c r="D275" s="1" t="s">
        <v>67</v>
      </c>
      <c r="E275" s="1" t="s">
        <v>857</v>
      </c>
      <c r="F275" s="1" t="s">
        <v>909</v>
      </c>
      <c r="G275" s="1" t="s">
        <v>6</v>
      </c>
      <c r="H275" s="10" t="str">
        <f>CONCATENATE(Connectors[[#This Row],[FROMINSTANCE]],"::",Connectors[[#This Row],[FROMFIELD]],"::",Connectors[[#This Row],[FROMINSTANCETYPE]])</f>
        <v>LKP_ofs_ar_invoices::receipt_method::Lookup Procedure</v>
      </c>
      <c r="I275" s="10" t="str">
        <f>CONCATENATE(Connectors[[#This Row],[TOINSTANCE]],"::",Connectors[[#This Row],[TOFIELD]],"::",Connectors[[#This Row],[TOINSTANCETYPE]])</f>
        <v>EXP_ins_upd::lkp_receipt_method::Expression</v>
      </c>
    </row>
    <row r="276" spans="1:9" x14ac:dyDescent="0.25">
      <c r="A276" s="25" t="str">
        <f xml:space="preserve"> MapNameLkup</f>
        <v>m_ofs_trex_ar_invoices</v>
      </c>
      <c r="B276" s="1" t="s">
        <v>855</v>
      </c>
      <c r="C276" s="1" t="s">
        <v>140</v>
      </c>
      <c r="D276" s="1" t="s">
        <v>67</v>
      </c>
      <c r="E276" s="1" t="s">
        <v>857</v>
      </c>
      <c r="F276" s="1" t="s">
        <v>910</v>
      </c>
      <c r="G276" s="1" t="s">
        <v>6</v>
      </c>
      <c r="H276" s="10" t="str">
        <f>CONCATENATE(Connectors[[#This Row],[FROMINSTANCE]],"::",Connectors[[#This Row],[FROMFIELD]],"::",Connectors[[#This Row],[FROMINSTANCETYPE]])</f>
        <v>LKP_ofs_ar_invoices::created_by::Lookup Procedure</v>
      </c>
      <c r="I276" s="10" t="str">
        <f>CONCATENATE(Connectors[[#This Row],[TOINSTANCE]],"::",Connectors[[#This Row],[TOFIELD]],"::",Connectors[[#This Row],[TOINSTANCETYPE]])</f>
        <v>EXP_ins_upd::lkp_created_by::Expression</v>
      </c>
    </row>
    <row r="277" spans="1:9" x14ac:dyDescent="0.25">
      <c r="A277" s="25" t="str">
        <f xml:space="preserve"> MapNameLkup</f>
        <v>m_ofs_trex_ar_invoices</v>
      </c>
      <c r="B277" s="1" t="s">
        <v>855</v>
      </c>
      <c r="C277" s="1" t="s">
        <v>141</v>
      </c>
      <c r="D277" s="1" t="s">
        <v>67</v>
      </c>
      <c r="E277" s="1" t="s">
        <v>857</v>
      </c>
      <c r="F277" s="1" t="s">
        <v>911</v>
      </c>
      <c r="G277" s="1" t="s">
        <v>6</v>
      </c>
      <c r="H277" s="10" t="str">
        <f>CONCATENATE(Connectors[[#This Row],[FROMINSTANCE]],"::",Connectors[[#This Row],[FROMFIELD]],"::",Connectors[[#This Row],[FROMINSTANCETYPE]])</f>
        <v>LKP_ofs_ar_invoices::last_updated_by::Lookup Procedure</v>
      </c>
      <c r="I277" s="10" t="str">
        <f>CONCATENATE(Connectors[[#This Row],[TOINSTANCE]],"::",Connectors[[#This Row],[TOFIELD]],"::",Connectors[[#This Row],[TOINSTANCETYPE]])</f>
        <v>EXP_ins_upd::lkp_last_updated_by::Expression</v>
      </c>
    </row>
    <row r="278" spans="1:9" x14ac:dyDescent="0.25">
      <c r="A278" s="25" t="str">
        <f xml:space="preserve"> MapNameLkup</f>
        <v>m_ofs_trex_ar_invoices</v>
      </c>
      <c r="B278" s="1" t="s">
        <v>855</v>
      </c>
      <c r="C278" s="1" t="s">
        <v>142</v>
      </c>
      <c r="D278" s="1" t="s">
        <v>67</v>
      </c>
      <c r="E278" s="1" t="s">
        <v>857</v>
      </c>
      <c r="F278" s="1" t="s">
        <v>912</v>
      </c>
      <c r="G278" s="1" t="s">
        <v>6</v>
      </c>
      <c r="H278" s="10" t="str">
        <f>CONCATENATE(Connectors[[#This Row],[FROMINSTANCE]],"::",Connectors[[#This Row],[FROMFIELD]],"::",Connectors[[#This Row],[FROMINSTANCETYPE]])</f>
        <v>LKP_ofs_ar_invoices::invoice_creation_date::Lookup Procedure</v>
      </c>
      <c r="I278" s="10" t="str">
        <f>CONCATENATE(Connectors[[#This Row],[TOINSTANCE]],"::",Connectors[[#This Row],[TOFIELD]],"::",Connectors[[#This Row],[TOINSTANCETYPE]])</f>
        <v>EXP_ins_upd::lkp_invoice_creation_date::Expression</v>
      </c>
    </row>
    <row r="279" spans="1:9" x14ac:dyDescent="0.25">
      <c r="A279" s="25" t="str">
        <f xml:space="preserve"> MapNameLkup</f>
        <v>m_ofs_trex_ar_invoices</v>
      </c>
      <c r="B279" s="1" t="s">
        <v>855</v>
      </c>
      <c r="C279" s="1" t="s">
        <v>143</v>
      </c>
      <c r="D279" s="1" t="s">
        <v>67</v>
      </c>
      <c r="E279" s="1" t="s">
        <v>857</v>
      </c>
      <c r="F279" s="1" t="s">
        <v>913</v>
      </c>
      <c r="G279" s="1" t="s">
        <v>6</v>
      </c>
      <c r="H279" s="10" t="str">
        <f>CONCATENATE(Connectors[[#This Row],[FROMINSTANCE]],"::",Connectors[[#This Row],[FROMFIELD]],"::",Connectors[[#This Row],[FROMINSTANCETYPE]])</f>
        <v>LKP_ofs_ar_invoices::invoice_last_update_date::Lookup Procedure</v>
      </c>
      <c r="I279" s="10" t="str">
        <f>CONCATENATE(Connectors[[#This Row],[TOINSTANCE]],"::",Connectors[[#This Row],[TOFIELD]],"::",Connectors[[#This Row],[TOINSTANCETYPE]])</f>
        <v>EXP_ins_upd::lkp_invoice_last_update_date::Expression</v>
      </c>
    </row>
    <row r="280" spans="1:9" x14ac:dyDescent="0.25">
      <c r="A280" s="25" t="str">
        <f xml:space="preserve"> MapNameLkup</f>
        <v>m_ofs_trex_ar_invoices</v>
      </c>
      <c r="B280" s="1" t="s">
        <v>855</v>
      </c>
      <c r="C280" s="1" t="s">
        <v>144</v>
      </c>
      <c r="D280" s="1" t="s">
        <v>67</v>
      </c>
      <c r="E280" s="1" t="s">
        <v>857</v>
      </c>
      <c r="F280" s="1" t="s">
        <v>914</v>
      </c>
      <c r="G280" s="1" t="s">
        <v>6</v>
      </c>
      <c r="H280" s="10" t="str">
        <f>CONCATENATE(Connectors[[#This Row],[FROMINSTANCE]],"::",Connectors[[#This Row],[FROMFIELD]],"::",Connectors[[#This Row],[FROMINSTANCETYPE]])</f>
        <v>LKP_ofs_ar_invoices::invoice_gl_posted_date::Lookup Procedure</v>
      </c>
      <c r="I280" s="10" t="str">
        <f>CONCATENATE(Connectors[[#This Row],[TOINSTANCE]],"::",Connectors[[#This Row],[TOFIELD]],"::",Connectors[[#This Row],[TOINSTANCETYPE]])</f>
        <v>EXP_ins_upd::lkp_invoice_gl_posted_date::Expression</v>
      </c>
    </row>
    <row r="281" spans="1:9" x14ac:dyDescent="0.25">
      <c r="A281" s="25" t="str">
        <f xml:space="preserve"> MapNameLkup</f>
        <v>m_ofs_trex_ar_invoices</v>
      </c>
      <c r="B281" s="1" t="s">
        <v>855</v>
      </c>
      <c r="C281" s="1" t="s">
        <v>145</v>
      </c>
      <c r="D281" s="1" t="s">
        <v>67</v>
      </c>
      <c r="E281" s="1" t="s">
        <v>857</v>
      </c>
      <c r="F281" s="1" t="s">
        <v>915</v>
      </c>
      <c r="G281" s="1" t="s">
        <v>6</v>
      </c>
      <c r="H281" s="10" t="str">
        <f>CONCATENATE(Connectors[[#This Row],[FROMINSTANCE]],"::",Connectors[[#This Row],[FROMFIELD]],"::",Connectors[[#This Row],[FROMINSTANCETYPE]])</f>
        <v>LKP_ofs_ar_invoices::invoice_gl_date::Lookup Procedure</v>
      </c>
      <c r="I281" s="10" t="str">
        <f>CONCATENATE(Connectors[[#This Row],[TOINSTANCE]],"::",Connectors[[#This Row],[TOFIELD]],"::",Connectors[[#This Row],[TOINSTANCETYPE]])</f>
        <v>EXP_ins_upd::lkp_invoice_gl_date::Expression</v>
      </c>
    </row>
    <row r="282" spans="1:9" x14ac:dyDescent="0.25">
      <c r="A282" s="25" t="str">
        <f xml:space="preserve"> MapNameLkup</f>
        <v>m_ofs_trex_ar_invoices</v>
      </c>
      <c r="B282" s="1" t="s">
        <v>855</v>
      </c>
      <c r="C282" s="1" t="s">
        <v>147</v>
      </c>
      <c r="D282" s="1" t="s">
        <v>67</v>
      </c>
      <c r="E282" s="1" t="s">
        <v>857</v>
      </c>
      <c r="F282" s="1" t="s">
        <v>916</v>
      </c>
      <c r="G282" s="1" t="s">
        <v>6</v>
      </c>
      <c r="H282" s="10" t="str">
        <f>CONCATENATE(Connectors[[#This Row],[FROMINSTANCE]],"::",Connectors[[#This Row],[FROMFIELD]],"::",Connectors[[#This Row],[FROMINSTANCETYPE]])</f>
        <v>LKP_ofs_ar_invoices::prcs_sts_cd::Lookup Procedure</v>
      </c>
      <c r="I282" s="10" t="str">
        <f>CONCATENATE(Connectors[[#This Row],[TOINSTANCE]],"::",Connectors[[#This Row],[TOFIELD]],"::",Connectors[[#This Row],[TOINSTANCETYPE]])</f>
        <v>EXP_ins_upd::lkp_prcs_sts_cd::Expression</v>
      </c>
    </row>
    <row r="283" spans="1:9" x14ac:dyDescent="0.25">
      <c r="A283" s="25" t="str">
        <f xml:space="preserve"> MapNameLkup</f>
        <v>m_ofs_trex_ar_invoices</v>
      </c>
      <c r="B283" s="1" t="s">
        <v>857</v>
      </c>
      <c r="C283" s="1" t="s">
        <v>121</v>
      </c>
      <c r="D283" s="1" t="s">
        <v>6</v>
      </c>
      <c r="E283" s="1" t="s">
        <v>861</v>
      </c>
      <c r="F283" s="1" t="s">
        <v>121</v>
      </c>
      <c r="G283" s="1" t="s">
        <v>863</v>
      </c>
      <c r="H283" s="10" t="str">
        <f>CONCATENATE(Connectors[[#This Row],[FROMINSTANCE]],"::",Connectors[[#This Row],[FROMFIELD]],"::",Connectors[[#This Row],[FROMINSTANCETYPE]])</f>
        <v>EXP_ins_upd::account_number::Expression</v>
      </c>
      <c r="I283" s="10" t="str">
        <f>CONCATENATE(Connectors[[#This Row],[TOINSTANCE]],"::",Connectors[[#This Row],[TOFIELD]],"::",Connectors[[#This Row],[TOINSTANCETYPE]])</f>
        <v>FLTR_insert::account_number::Filter</v>
      </c>
    </row>
    <row r="284" spans="1:9" x14ac:dyDescent="0.25">
      <c r="A284" s="25" t="str">
        <f xml:space="preserve"> MapNameLkup</f>
        <v>m_ofs_trex_ar_invoices</v>
      </c>
      <c r="B284" s="1" t="s">
        <v>857</v>
      </c>
      <c r="C284" s="1" t="s">
        <v>122</v>
      </c>
      <c r="D284" s="1" t="s">
        <v>6</v>
      </c>
      <c r="E284" s="1" t="s">
        <v>861</v>
      </c>
      <c r="F284" s="1" t="s">
        <v>122</v>
      </c>
      <c r="G284" s="1" t="s">
        <v>863</v>
      </c>
      <c r="H284" s="10" t="str">
        <f>CONCATENATE(Connectors[[#This Row],[FROMINSTANCE]],"::",Connectors[[#This Row],[FROMFIELD]],"::",Connectors[[#This Row],[FROMINSTANCETYPE]])</f>
        <v>EXP_ins_upd::party_name::Expression</v>
      </c>
      <c r="I284" s="10" t="str">
        <f>CONCATENATE(Connectors[[#This Row],[TOINSTANCE]],"::",Connectors[[#This Row],[TOFIELD]],"::",Connectors[[#This Row],[TOINSTANCETYPE]])</f>
        <v>FLTR_insert::party_name::Filter</v>
      </c>
    </row>
    <row r="285" spans="1:9" x14ac:dyDescent="0.25">
      <c r="A285" s="25" t="str">
        <f xml:space="preserve"> MapNameLkup</f>
        <v>m_ofs_trex_ar_invoices</v>
      </c>
      <c r="B285" s="1" t="s">
        <v>857</v>
      </c>
      <c r="C285" s="1" t="s">
        <v>872</v>
      </c>
      <c r="D285" s="1" t="s">
        <v>6</v>
      </c>
      <c r="E285" s="1" t="s">
        <v>861</v>
      </c>
      <c r="F285" s="1" t="s">
        <v>872</v>
      </c>
      <c r="G285" s="1" t="s">
        <v>863</v>
      </c>
      <c r="H285" s="10" t="str">
        <f>CONCATENATE(Connectors[[#This Row],[FROMINSTANCE]],"::",Connectors[[#This Row],[FROMFIELD]],"::",Connectors[[#This Row],[FROMINSTANCETYPE]])</f>
        <v>EXP_ins_upd::o_customer_trx_id::Expression</v>
      </c>
      <c r="I285" s="10" t="str">
        <f>CONCATENATE(Connectors[[#This Row],[TOINSTANCE]],"::",Connectors[[#This Row],[TOFIELD]],"::",Connectors[[#This Row],[TOINSTANCETYPE]])</f>
        <v>FLTR_insert::o_customer_trx_id::Filter</v>
      </c>
    </row>
    <row r="286" spans="1:9" x14ac:dyDescent="0.25">
      <c r="A286" s="25" t="str">
        <f xml:space="preserve"> MapNameLkup</f>
        <v>m_ofs_trex_ar_invoices</v>
      </c>
      <c r="B286" s="1" t="s">
        <v>857</v>
      </c>
      <c r="C286" s="1" t="s">
        <v>124</v>
      </c>
      <c r="D286" s="1" t="s">
        <v>6</v>
      </c>
      <c r="E286" s="1" t="s">
        <v>861</v>
      </c>
      <c r="F286" s="1" t="s">
        <v>124</v>
      </c>
      <c r="G286" s="1" t="s">
        <v>863</v>
      </c>
      <c r="H286" s="10" t="str">
        <f>CONCATENATE(Connectors[[#This Row],[FROMINSTANCE]],"::",Connectors[[#This Row],[FROMFIELD]],"::",Connectors[[#This Row],[FROMINSTANCETYPE]])</f>
        <v>EXP_ins_upd::invoice_number::Expression</v>
      </c>
      <c r="I286" s="10" t="str">
        <f>CONCATENATE(Connectors[[#This Row],[TOINSTANCE]],"::",Connectors[[#This Row],[TOFIELD]],"::",Connectors[[#This Row],[TOINSTANCETYPE]])</f>
        <v>FLTR_insert::invoice_number::Filter</v>
      </c>
    </row>
    <row r="287" spans="1:9" x14ac:dyDescent="0.25">
      <c r="A287" s="25" t="str">
        <f xml:space="preserve"> MapNameLkup</f>
        <v>m_ofs_trex_ar_invoices</v>
      </c>
      <c r="B287" s="1" t="s">
        <v>857</v>
      </c>
      <c r="C287" s="1" t="s">
        <v>125</v>
      </c>
      <c r="D287" s="1" t="s">
        <v>6</v>
      </c>
      <c r="E287" s="1" t="s">
        <v>861</v>
      </c>
      <c r="F287" s="1" t="s">
        <v>125</v>
      </c>
      <c r="G287" s="1" t="s">
        <v>863</v>
      </c>
      <c r="H287" s="10" t="str">
        <f>CONCATENATE(Connectors[[#This Row],[FROMINSTANCE]],"::",Connectors[[#This Row],[FROMFIELD]],"::",Connectors[[#This Row],[FROMINSTANCETYPE]])</f>
        <v>EXP_ins_upd::kme_ar_inv_no::Expression</v>
      </c>
      <c r="I287" s="10" t="str">
        <f>CONCATENATE(Connectors[[#This Row],[TOINSTANCE]],"::",Connectors[[#This Row],[TOFIELD]],"::",Connectors[[#This Row],[TOINSTANCETYPE]])</f>
        <v>FLTR_insert::kme_ar_inv_no::Filter</v>
      </c>
    </row>
    <row r="288" spans="1:9" x14ac:dyDescent="0.25">
      <c r="A288" s="25" t="str">
        <f xml:space="preserve"> MapNameLkup</f>
        <v>m_ofs_trex_ar_invoices</v>
      </c>
      <c r="B288" s="1" t="s">
        <v>857</v>
      </c>
      <c r="C288" s="1" t="s">
        <v>126</v>
      </c>
      <c r="D288" s="1" t="s">
        <v>6</v>
      </c>
      <c r="E288" s="1" t="s">
        <v>861</v>
      </c>
      <c r="F288" s="1" t="s">
        <v>126</v>
      </c>
      <c r="G288" s="1" t="s">
        <v>863</v>
      </c>
      <c r="H288" s="10" t="str">
        <f>CONCATENATE(Connectors[[#This Row],[FROMINSTANCE]],"::",Connectors[[#This Row],[FROMFIELD]],"::",Connectors[[#This Row],[FROMINSTANCETYPE]])</f>
        <v>EXP_ins_upd::kme_ar_inv_amd_no::Expression</v>
      </c>
      <c r="I288" s="10" t="str">
        <f>CONCATENATE(Connectors[[#This Row],[TOINSTANCE]],"::",Connectors[[#This Row],[TOFIELD]],"::",Connectors[[#This Row],[TOINSTANCETYPE]])</f>
        <v>FLTR_insert::kme_ar_inv_amd_no::Filter</v>
      </c>
    </row>
    <row r="289" spans="1:9" x14ac:dyDescent="0.25">
      <c r="A289" s="25" t="str">
        <f xml:space="preserve"> MapNameLkup</f>
        <v>m_ofs_trex_ar_invoices</v>
      </c>
      <c r="B289" s="1" t="s">
        <v>857</v>
      </c>
      <c r="C289" s="1" t="s">
        <v>127</v>
      </c>
      <c r="D289" s="1" t="s">
        <v>6</v>
      </c>
      <c r="E289" s="1" t="s">
        <v>861</v>
      </c>
      <c r="F289" s="1" t="s">
        <v>127</v>
      </c>
      <c r="G289" s="1" t="s">
        <v>863</v>
      </c>
      <c r="H289" s="10" t="str">
        <f>CONCATENATE(Connectors[[#This Row],[FROMINSTANCE]],"::",Connectors[[#This Row],[FROMFIELD]],"::",Connectors[[#This Row],[FROMINSTANCETYPE]])</f>
        <v>EXP_ins_upd::invoice_date::Expression</v>
      </c>
      <c r="I289" s="10" t="str">
        <f>CONCATENATE(Connectors[[#This Row],[TOINSTANCE]],"::",Connectors[[#This Row],[TOFIELD]],"::",Connectors[[#This Row],[TOINSTANCETYPE]])</f>
        <v>FLTR_insert::invoice_date::Filter</v>
      </c>
    </row>
    <row r="290" spans="1:9" x14ac:dyDescent="0.25">
      <c r="A290" s="25" t="str">
        <f xml:space="preserve"> MapNameLkup</f>
        <v>m_ofs_trex_ar_invoices</v>
      </c>
      <c r="B290" s="1" t="s">
        <v>857</v>
      </c>
      <c r="C290" s="1" t="s">
        <v>138</v>
      </c>
      <c r="D290" s="1" t="s">
        <v>6</v>
      </c>
      <c r="E290" s="1" t="s">
        <v>861</v>
      </c>
      <c r="F290" s="1" t="s">
        <v>138</v>
      </c>
      <c r="G290" s="1" t="s">
        <v>863</v>
      </c>
      <c r="H290" s="10" t="str">
        <f>CONCATENATE(Connectors[[#This Row],[FROMINSTANCE]],"::",Connectors[[#This Row],[FROMFIELD]],"::",Connectors[[#This Row],[FROMINSTANCETYPE]])</f>
        <v>EXP_ins_upd::payment_terms::Expression</v>
      </c>
      <c r="I290" s="10" t="str">
        <f>CONCATENATE(Connectors[[#This Row],[TOINSTANCE]],"::",Connectors[[#This Row],[TOFIELD]],"::",Connectors[[#This Row],[TOINSTANCETYPE]])</f>
        <v>FLTR_insert::payment_terms::Filter</v>
      </c>
    </row>
    <row r="291" spans="1:9" x14ac:dyDescent="0.25">
      <c r="A291" s="25" t="str">
        <f xml:space="preserve"> MapNameLkup</f>
        <v>m_ofs_trex_ar_invoices</v>
      </c>
      <c r="B291" s="1" t="s">
        <v>857</v>
      </c>
      <c r="C291" s="1" t="s">
        <v>140</v>
      </c>
      <c r="D291" s="1" t="s">
        <v>6</v>
      </c>
      <c r="E291" s="1" t="s">
        <v>861</v>
      </c>
      <c r="F291" s="1" t="s">
        <v>140</v>
      </c>
      <c r="G291" s="1" t="s">
        <v>863</v>
      </c>
      <c r="H291" s="10" t="str">
        <f>CONCATENATE(Connectors[[#This Row],[FROMINSTANCE]],"::",Connectors[[#This Row],[FROMFIELD]],"::",Connectors[[#This Row],[FROMINSTANCETYPE]])</f>
        <v>EXP_ins_upd::created_by::Expression</v>
      </c>
      <c r="I291" s="10" t="str">
        <f>CONCATENATE(Connectors[[#This Row],[TOINSTANCE]],"::",Connectors[[#This Row],[TOFIELD]],"::",Connectors[[#This Row],[TOINSTANCETYPE]])</f>
        <v>FLTR_insert::created_by::Filter</v>
      </c>
    </row>
    <row r="292" spans="1:9" x14ac:dyDescent="0.25">
      <c r="A292" s="25" t="str">
        <f xml:space="preserve"> MapNameLkup</f>
        <v>m_ofs_trex_ar_invoices</v>
      </c>
      <c r="B292" s="1" t="s">
        <v>857</v>
      </c>
      <c r="C292" s="1" t="s">
        <v>141</v>
      </c>
      <c r="D292" s="1" t="s">
        <v>6</v>
      </c>
      <c r="E292" s="1" t="s">
        <v>861</v>
      </c>
      <c r="F292" s="1" t="s">
        <v>141</v>
      </c>
      <c r="G292" s="1" t="s">
        <v>863</v>
      </c>
      <c r="H292" s="10" t="str">
        <f>CONCATENATE(Connectors[[#This Row],[FROMINSTANCE]],"::",Connectors[[#This Row],[FROMFIELD]],"::",Connectors[[#This Row],[FROMINSTANCETYPE]])</f>
        <v>EXP_ins_upd::last_updated_by::Expression</v>
      </c>
      <c r="I292" s="10" t="str">
        <f>CONCATENATE(Connectors[[#This Row],[TOINSTANCE]],"::",Connectors[[#This Row],[TOFIELD]],"::",Connectors[[#This Row],[TOINSTANCETYPE]])</f>
        <v>FLTR_insert::last_updated_by::Filter</v>
      </c>
    </row>
    <row r="293" spans="1:9" x14ac:dyDescent="0.25">
      <c r="A293" s="25" t="str">
        <f xml:space="preserve"> MapNameLkup</f>
        <v>m_ofs_trex_ar_invoices</v>
      </c>
      <c r="B293" s="1" t="s">
        <v>857</v>
      </c>
      <c r="C293" s="1" t="s">
        <v>142</v>
      </c>
      <c r="D293" s="1" t="s">
        <v>6</v>
      </c>
      <c r="E293" s="1" t="s">
        <v>861</v>
      </c>
      <c r="F293" s="1" t="s">
        <v>142</v>
      </c>
      <c r="G293" s="1" t="s">
        <v>863</v>
      </c>
      <c r="H293" s="10" t="str">
        <f>CONCATENATE(Connectors[[#This Row],[FROMINSTANCE]],"::",Connectors[[#This Row],[FROMFIELD]],"::",Connectors[[#This Row],[FROMINSTANCETYPE]])</f>
        <v>EXP_ins_upd::invoice_creation_date::Expression</v>
      </c>
      <c r="I293" s="10" t="str">
        <f>CONCATENATE(Connectors[[#This Row],[TOINSTANCE]],"::",Connectors[[#This Row],[TOFIELD]],"::",Connectors[[#This Row],[TOINSTANCETYPE]])</f>
        <v>FLTR_insert::invoice_creation_date::Filter</v>
      </c>
    </row>
    <row r="294" spans="1:9" x14ac:dyDescent="0.25">
      <c r="A294" s="25" t="str">
        <f xml:space="preserve"> MapNameLkup</f>
        <v>m_ofs_trex_ar_invoices</v>
      </c>
      <c r="B294" s="1" t="s">
        <v>857</v>
      </c>
      <c r="C294" s="1" t="s">
        <v>143</v>
      </c>
      <c r="D294" s="1" t="s">
        <v>6</v>
      </c>
      <c r="E294" s="1" t="s">
        <v>861</v>
      </c>
      <c r="F294" s="1" t="s">
        <v>143</v>
      </c>
      <c r="G294" s="1" t="s">
        <v>863</v>
      </c>
      <c r="H294" s="10" t="str">
        <f>CONCATENATE(Connectors[[#This Row],[FROMINSTANCE]],"::",Connectors[[#This Row],[FROMFIELD]],"::",Connectors[[#This Row],[FROMINSTANCETYPE]])</f>
        <v>EXP_ins_upd::invoice_last_update_date::Expression</v>
      </c>
      <c r="I294" s="10" t="str">
        <f>CONCATENATE(Connectors[[#This Row],[TOINSTANCE]],"::",Connectors[[#This Row],[TOFIELD]],"::",Connectors[[#This Row],[TOINSTANCETYPE]])</f>
        <v>FLTR_insert::invoice_last_update_date::Filter</v>
      </c>
    </row>
    <row r="295" spans="1:9" x14ac:dyDescent="0.25">
      <c r="A295" s="25" t="str">
        <f xml:space="preserve"> MapNameLkup</f>
        <v>m_ofs_trex_ar_invoices</v>
      </c>
      <c r="B295" s="1" t="s">
        <v>857</v>
      </c>
      <c r="C295" s="1" t="s">
        <v>128</v>
      </c>
      <c r="D295" s="1" t="s">
        <v>6</v>
      </c>
      <c r="E295" s="1" t="s">
        <v>861</v>
      </c>
      <c r="F295" s="1" t="s">
        <v>128</v>
      </c>
      <c r="G295" s="1" t="s">
        <v>863</v>
      </c>
      <c r="H295" s="10" t="str">
        <f>CONCATENATE(Connectors[[#This Row],[FROMINSTANCE]],"::",Connectors[[#This Row],[FROMFIELD]],"::",Connectors[[#This Row],[FROMINSTANCETYPE]])</f>
        <v>EXP_ins_upd::due_date::Expression</v>
      </c>
      <c r="I295" s="10" t="str">
        <f>CONCATENATE(Connectors[[#This Row],[TOINSTANCE]],"::",Connectors[[#This Row],[TOFIELD]],"::",Connectors[[#This Row],[TOINSTANCETYPE]])</f>
        <v>FLTR_insert::due_date::Filter</v>
      </c>
    </row>
    <row r="296" spans="1:9" x14ac:dyDescent="0.25">
      <c r="A296" s="25" t="str">
        <f xml:space="preserve"> MapNameLkup</f>
        <v>m_ofs_trex_ar_invoices</v>
      </c>
      <c r="B296" s="1" t="s">
        <v>857</v>
      </c>
      <c r="C296" s="1" t="s">
        <v>139</v>
      </c>
      <c r="D296" s="1" t="s">
        <v>6</v>
      </c>
      <c r="E296" s="1" t="s">
        <v>861</v>
      </c>
      <c r="F296" s="1" t="s">
        <v>139</v>
      </c>
      <c r="G296" s="1" t="s">
        <v>863</v>
      </c>
      <c r="H296" s="10" t="str">
        <f>CONCATENATE(Connectors[[#This Row],[FROMINSTANCE]],"::",Connectors[[#This Row],[FROMFIELD]],"::",Connectors[[#This Row],[FROMINSTANCETYPE]])</f>
        <v>EXP_ins_upd::receipt_method::Expression</v>
      </c>
      <c r="I296" s="10" t="str">
        <f>CONCATENATE(Connectors[[#This Row],[TOINSTANCE]],"::",Connectors[[#This Row],[TOFIELD]],"::",Connectors[[#This Row],[TOINSTANCETYPE]])</f>
        <v>FLTR_insert::receipt_method::Filter</v>
      </c>
    </row>
    <row r="297" spans="1:9" x14ac:dyDescent="0.25">
      <c r="A297" s="25" t="str">
        <f xml:space="preserve"> MapNameLkup</f>
        <v>m_ofs_trex_ar_invoices</v>
      </c>
      <c r="B297" s="1" t="s">
        <v>857</v>
      </c>
      <c r="C297" s="1" t="s">
        <v>146</v>
      </c>
      <c r="D297" s="1" t="s">
        <v>6</v>
      </c>
      <c r="E297" s="1" t="s">
        <v>861</v>
      </c>
      <c r="F297" s="1" t="s">
        <v>146</v>
      </c>
      <c r="G297" s="1" t="s">
        <v>863</v>
      </c>
      <c r="H297" s="10" t="str">
        <f>CONCATENATE(Connectors[[#This Row],[FROMINSTANCE]],"::",Connectors[[#This Row],[FROMFIELD]],"::",Connectors[[#This Row],[FROMINSTANCETYPE]])</f>
        <v>EXP_ins_upd::aud_dim_id::Expression</v>
      </c>
      <c r="I297" s="10" t="str">
        <f>CONCATENATE(Connectors[[#This Row],[TOINSTANCE]],"::",Connectors[[#This Row],[TOFIELD]],"::",Connectors[[#This Row],[TOINSTANCETYPE]])</f>
        <v>FLTR_insert::aud_dim_id::Filter</v>
      </c>
    </row>
    <row r="298" spans="1:9" x14ac:dyDescent="0.25">
      <c r="A298" s="25" t="str">
        <f xml:space="preserve"> MapNameLkup</f>
        <v>m_ofs_trex_ar_invoices</v>
      </c>
      <c r="B298" s="1" t="s">
        <v>857</v>
      </c>
      <c r="C298" s="1" t="s">
        <v>147</v>
      </c>
      <c r="D298" s="1" t="s">
        <v>6</v>
      </c>
      <c r="E298" s="1" t="s">
        <v>861</v>
      </c>
      <c r="F298" s="1" t="s">
        <v>147</v>
      </c>
      <c r="G298" s="1" t="s">
        <v>863</v>
      </c>
      <c r="H298" s="10" t="str">
        <f>CONCATENATE(Connectors[[#This Row],[FROMINSTANCE]],"::",Connectors[[#This Row],[FROMFIELD]],"::",Connectors[[#This Row],[FROMINSTANCETYPE]])</f>
        <v>EXP_ins_upd::prcs_sts_cd::Expression</v>
      </c>
      <c r="I298" s="10" t="str">
        <f>CONCATENATE(Connectors[[#This Row],[TOINSTANCE]],"::",Connectors[[#This Row],[TOFIELD]],"::",Connectors[[#This Row],[TOINSTANCETYPE]])</f>
        <v>FLTR_insert::prcs_sts_cd::Filter</v>
      </c>
    </row>
    <row r="299" spans="1:9" x14ac:dyDescent="0.25">
      <c r="A299" s="25" t="str">
        <f xml:space="preserve"> MapNameLkup</f>
        <v>m_ofs_trex_ar_invoices</v>
      </c>
      <c r="B299" s="1" t="s">
        <v>859</v>
      </c>
      <c r="C299" s="1" t="s">
        <v>114</v>
      </c>
      <c r="D299" s="1" t="s">
        <v>6</v>
      </c>
      <c r="E299" s="1" t="s">
        <v>857</v>
      </c>
      <c r="F299" s="1" t="s">
        <v>114</v>
      </c>
      <c r="G299" s="1" t="s">
        <v>6</v>
      </c>
      <c r="H299" s="10" t="str">
        <f>CONCATENATE(Connectors[[#This Row],[FROMINSTANCE]],"::",Connectors[[#This Row],[FROMFIELD]],"::",Connectors[[#This Row],[FROMINSTANCETYPE]])</f>
        <v>EXP_ofs_ar_invoices::extn_sys_cd::Expression</v>
      </c>
      <c r="I299" s="10" t="str">
        <f>CONCATENATE(Connectors[[#This Row],[TOINSTANCE]],"::",Connectors[[#This Row],[TOFIELD]],"::",Connectors[[#This Row],[TOINSTANCETYPE]])</f>
        <v>EXP_ins_upd::extn_sys_cd::Expression</v>
      </c>
    </row>
    <row r="300" spans="1:9" x14ac:dyDescent="0.25">
      <c r="A300" s="25" t="str">
        <f xml:space="preserve"> MapNameLkup</f>
        <v>m_ofs_trex_ar_invoices</v>
      </c>
      <c r="B300" s="1" t="s">
        <v>859</v>
      </c>
      <c r="C300" s="1" t="s">
        <v>115</v>
      </c>
      <c r="D300" s="1" t="s">
        <v>6</v>
      </c>
      <c r="E300" s="1" t="s">
        <v>857</v>
      </c>
      <c r="F300" s="1" t="s">
        <v>115</v>
      </c>
      <c r="G300" s="1" t="s">
        <v>6</v>
      </c>
      <c r="H300" s="10" t="str">
        <f>CONCATENATE(Connectors[[#This Row],[FROMINSTANCE]],"::",Connectors[[#This Row],[FROMFIELD]],"::",Connectors[[#This Row],[FROMINSTANCETYPE]])</f>
        <v>EXP_ofs_ar_invoices::batch_id::Expression</v>
      </c>
      <c r="I300" s="10" t="str">
        <f>CONCATENATE(Connectors[[#This Row],[TOINSTANCE]],"::",Connectors[[#This Row],[TOFIELD]],"::",Connectors[[#This Row],[TOINSTANCETYPE]])</f>
        <v>EXP_ins_upd::batch_id::Expression</v>
      </c>
    </row>
    <row r="301" spans="1:9" x14ac:dyDescent="0.25">
      <c r="A301" s="25" t="str">
        <f xml:space="preserve"> MapNameLkup</f>
        <v>m_ofs_trex_ar_invoices</v>
      </c>
      <c r="B301" s="1" t="s">
        <v>859</v>
      </c>
      <c r="C301" s="1" t="s">
        <v>116</v>
      </c>
      <c r="D301" s="1" t="s">
        <v>6</v>
      </c>
      <c r="E301" s="1" t="s">
        <v>857</v>
      </c>
      <c r="F301" s="1" t="s">
        <v>116</v>
      </c>
      <c r="G301" s="1" t="s">
        <v>6</v>
      </c>
      <c r="H301" s="10" t="str">
        <f>CONCATENATE(Connectors[[#This Row],[FROMINSTANCE]],"::",Connectors[[#This Row],[FROMFIELD]],"::",Connectors[[#This Row],[FROMINSTANCETYPE]])</f>
        <v>EXP_ofs_ar_invoices::batch_name::Expression</v>
      </c>
      <c r="I301" s="10" t="str">
        <f>CONCATENATE(Connectors[[#This Row],[TOINSTANCE]],"::",Connectors[[#This Row],[TOFIELD]],"::",Connectors[[#This Row],[TOINSTANCETYPE]])</f>
        <v>EXP_ins_upd::batch_name::Expression</v>
      </c>
    </row>
    <row r="302" spans="1:9" x14ac:dyDescent="0.25">
      <c r="A302" s="25" t="str">
        <f xml:space="preserve"> MapNameLkup</f>
        <v>m_ofs_trex_ar_invoices</v>
      </c>
      <c r="B302" s="1" t="s">
        <v>859</v>
      </c>
      <c r="C302" s="1" t="s">
        <v>870</v>
      </c>
      <c r="D302" s="1" t="s">
        <v>6</v>
      </c>
      <c r="E302" s="1" t="s">
        <v>857</v>
      </c>
      <c r="F302" s="1" t="s">
        <v>870</v>
      </c>
      <c r="G302" s="1" t="s">
        <v>6</v>
      </c>
      <c r="H302" s="10" t="str">
        <f>CONCATENATE(Connectors[[#This Row],[FROMINSTANCE]],"::",Connectors[[#This Row],[FROMFIELD]],"::",Connectors[[#This Row],[FROMINSTANCETYPE]])</f>
        <v>EXP_ofs_ar_invoices::o_org_id::Expression</v>
      </c>
      <c r="I302" s="10" t="str">
        <f>CONCATENATE(Connectors[[#This Row],[TOINSTANCE]],"::",Connectors[[#This Row],[TOFIELD]],"::",Connectors[[#This Row],[TOINSTANCETYPE]])</f>
        <v>EXP_ins_upd::o_org_id::Expression</v>
      </c>
    </row>
    <row r="303" spans="1:9" x14ac:dyDescent="0.25">
      <c r="A303" s="25" t="str">
        <f xml:space="preserve"> MapNameLkup</f>
        <v>m_ofs_trex_ar_invoices</v>
      </c>
      <c r="B303" s="1" t="s">
        <v>859</v>
      </c>
      <c r="C303" s="1" t="s">
        <v>871</v>
      </c>
      <c r="D303" s="1" t="s">
        <v>6</v>
      </c>
      <c r="E303" s="1" t="s">
        <v>857</v>
      </c>
      <c r="F303" s="1" t="s">
        <v>871</v>
      </c>
      <c r="G303" s="1" t="s">
        <v>6</v>
      </c>
      <c r="H303" s="10" t="str">
        <f>CONCATENATE(Connectors[[#This Row],[FROMINSTANCE]],"::",Connectors[[#This Row],[FROMFIELD]],"::",Connectors[[#This Row],[FROMINSTANCETYPE]])</f>
        <v>EXP_ofs_ar_invoices::o_batch_source_id::Expression</v>
      </c>
      <c r="I303" s="10" t="str">
        <f>CONCATENATE(Connectors[[#This Row],[TOINSTANCE]],"::",Connectors[[#This Row],[TOFIELD]],"::",Connectors[[#This Row],[TOINSTANCETYPE]])</f>
        <v>EXP_ins_upd::o_batch_source_id::Expression</v>
      </c>
    </row>
    <row r="304" spans="1:9" x14ac:dyDescent="0.25">
      <c r="A304" s="25" t="str">
        <f xml:space="preserve"> MapNameLkup</f>
        <v>m_ofs_trex_ar_invoices</v>
      </c>
      <c r="B304" s="1" t="s">
        <v>859</v>
      </c>
      <c r="C304" s="1" t="s">
        <v>119</v>
      </c>
      <c r="D304" s="1" t="s">
        <v>6</v>
      </c>
      <c r="E304" s="1" t="s">
        <v>857</v>
      </c>
      <c r="F304" s="1" t="s">
        <v>119</v>
      </c>
      <c r="G304" s="1" t="s">
        <v>6</v>
      </c>
      <c r="H304" s="10" t="str">
        <f>CONCATENATE(Connectors[[#This Row],[FROMINSTANCE]],"::",Connectors[[#This Row],[FROMFIELD]],"::",Connectors[[#This Row],[FROMINSTANCETYPE]])</f>
        <v>EXP_ofs_ar_invoices::company::Expression</v>
      </c>
      <c r="I304" s="10" t="str">
        <f>CONCATENATE(Connectors[[#This Row],[TOINSTANCE]],"::",Connectors[[#This Row],[TOFIELD]],"::",Connectors[[#This Row],[TOINSTANCETYPE]])</f>
        <v>EXP_ins_upd::company::Expression</v>
      </c>
    </row>
    <row r="305" spans="1:9" x14ac:dyDescent="0.25">
      <c r="A305" s="25" t="str">
        <f xml:space="preserve"> MapNameLkup</f>
        <v>m_ofs_trex_ar_invoices</v>
      </c>
      <c r="B305" s="1" t="s">
        <v>859</v>
      </c>
      <c r="C305" s="1" t="s">
        <v>120</v>
      </c>
      <c r="D305" s="1" t="s">
        <v>6</v>
      </c>
      <c r="E305" s="1" t="s">
        <v>857</v>
      </c>
      <c r="F305" s="1" t="s">
        <v>120</v>
      </c>
      <c r="G305" s="1" t="s">
        <v>6</v>
      </c>
      <c r="H305" s="10" t="str">
        <f>CONCATENATE(Connectors[[#This Row],[FROMINSTANCE]],"::",Connectors[[#This Row],[FROMFIELD]],"::",Connectors[[#This Row],[FROMINSTANCETYPE]])</f>
        <v>EXP_ofs_ar_invoices::company_description::Expression</v>
      </c>
      <c r="I305" s="10" t="str">
        <f>CONCATENATE(Connectors[[#This Row],[TOINSTANCE]],"::",Connectors[[#This Row],[TOFIELD]],"::",Connectors[[#This Row],[TOINSTANCETYPE]])</f>
        <v>EXP_ins_upd::company_description::Expression</v>
      </c>
    </row>
    <row r="306" spans="1:9" x14ac:dyDescent="0.25">
      <c r="A306" s="25" t="str">
        <f xml:space="preserve"> MapNameLkup</f>
        <v>m_ofs_trex_ar_invoices</v>
      </c>
      <c r="B306" s="1" t="s">
        <v>859</v>
      </c>
      <c r="C306" s="1" t="s">
        <v>121</v>
      </c>
      <c r="D306" s="1" t="s">
        <v>6</v>
      </c>
      <c r="E306" s="1" t="s">
        <v>857</v>
      </c>
      <c r="F306" s="1" t="s">
        <v>121</v>
      </c>
      <c r="G306" s="1" t="s">
        <v>6</v>
      </c>
      <c r="H306" s="10" t="str">
        <f>CONCATENATE(Connectors[[#This Row],[FROMINSTANCE]],"::",Connectors[[#This Row],[FROMFIELD]],"::",Connectors[[#This Row],[FROMINSTANCETYPE]])</f>
        <v>EXP_ofs_ar_invoices::account_number::Expression</v>
      </c>
      <c r="I306" s="10" t="str">
        <f>CONCATENATE(Connectors[[#This Row],[TOINSTANCE]],"::",Connectors[[#This Row],[TOFIELD]],"::",Connectors[[#This Row],[TOINSTANCETYPE]])</f>
        <v>EXP_ins_upd::account_number::Expression</v>
      </c>
    </row>
    <row r="307" spans="1:9" x14ac:dyDescent="0.25">
      <c r="A307" s="25" t="str">
        <f xml:space="preserve"> MapNameLkup</f>
        <v>m_ofs_trex_ar_invoices</v>
      </c>
      <c r="B307" s="1" t="s">
        <v>859</v>
      </c>
      <c r="C307" s="1" t="s">
        <v>122</v>
      </c>
      <c r="D307" s="1" t="s">
        <v>6</v>
      </c>
      <c r="E307" s="1" t="s">
        <v>857</v>
      </c>
      <c r="F307" s="1" t="s">
        <v>122</v>
      </c>
      <c r="G307" s="1" t="s">
        <v>6</v>
      </c>
      <c r="H307" s="10" t="str">
        <f>CONCATENATE(Connectors[[#This Row],[FROMINSTANCE]],"::",Connectors[[#This Row],[FROMFIELD]],"::",Connectors[[#This Row],[FROMINSTANCETYPE]])</f>
        <v>EXP_ofs_ar_invoices::party_name::Expression</v>
      </c>
      <c r="I307" s="10" t="str">
        <f>CONCATENATE(Connectors[[#This Row],[TOINSTANCE]],"::",Connectors[[#This Row],[TOFIELD]],"::",Connectors[[#This Row],[TOINSTANCETYPE]])</f>
        <v>EXP_ins_upd::party_name::Expression</v>
      </c>
    </row>
    <row r="308" spans="1:9" x14ac:dyDescent="0.25">
      <c r="A308" s="25" t="str">
        <f xml:space="preserve"> MapNameLkup</f>
        <v>m_ofs_trex_ar_invoices</v>
      </c>
      <c r="B308" s="1" t="s">
        <v>859</v>
      </c>
      <c r="C308" s="1" t="s">
        <v>872</v>
      </c>
      <c r="D308" s="1" t="s">
        <v>6</v>
      </c>
      <c r="E308" s="1" t="s">
        <v>857</v>
      </c>
      <c r="F308" s="1" t="s">
        <v>872</v>
      </c>
      <c r="G308" s="1" t="s">
        <v>6</v>
      </c>
      <c r="H308" s="10" t="str">
        <f>CONCATENATE(Connectors[[#This Row],[FROMINSTANCE]],"::",Connectors[[#This Row],[FROMFIELD]],"::",Connectors[[#This Row],[FROMINSTANCETYPE]])</f>
        <v>EXP_ofs_ar_invoices::o_customer_trx_id::Expression</v>
      </c>
      <c r="I308" s="10" t="str">
        <f>CONCATENATE(Connectors[[#This Row],[TOINSTANCE]],"::",Connectors[[#This Row],[TOFIELD]],"::",Connectors[[#This Row],[TOINSTANCETYPE]])</f>
        <v>EXP_ins_upd::o_customer_trx_id::Expression</v>
      </c>
    </row>
    <row r="309" spans="1:9" x14ac:dyDescent="0.25">
      <c r="A309" s="25" t="str">
        <f xml:space="preserve"> MapNameLkup</f>
        <v>m_ofs_trex_ar_invoices</v>
      </c>
      <c r="B309" s="1" t="s">
        <v>859</v>
      </c>
      <c r="C309" s="1" t="s">
        <v>124</v>
      </c>
      <c r="D309" s="1" t="s">
        <v>6</v>
      </c>
      <c r="E309" s="1" t="s">
        <v>857</v>
      </c>
      <c r="F309" s="1" t="s">
        <v>124</v>
      </c>
      <c r="G309" s="1" t="s">
        <v>6</v>
      </c>
      <c r="H309" s="10" t="str">
        <f>CONCATENATE(Connectors[[#This Row],[FROMINSTANCE]],"::",Connectors[[#This Row],[FROMFIELD]],"::",Connectors[[#This Row],[FROMINSTANCETYPE]])</f>
        <v>EXP_ofs_ar_invoices::invoice_number::Expression</v>
      </c>
      <c r="I309" s="10" t="str">
        <f>CONCATENATE(Connectors[[#This Row],[TOINSTANCE]],"::",Connectors[[#This Row],[TOFIELD]],"::",Connectors[[#This Row],[TOINSTANCETYPE]])</f>
        <v>EXP_ins_upd::invoice_number::Expression</v>
      </c>
    </row>
    <row r="310" spans="1:9" x14ac:dyDescent="0.25">
      <c r="A310" s="25" t="str">
        <f xml:space="preserve"> MapNameLkup</f>
        <v>m_ofs_trex_ar_invoices</v>
      </c>
      <c r="B310" s="1" t="s">
        <v>859</v>
      </c>
      <c r="C310" s="1" t="s">
        <v>125</v>
      </c>
      <c r="D310" s="1" t="s">
        <v>6</v>
      </c>
      <c r="E310" s="1" t="s">
        <v>857</v>
      </c>
      <c r="F310" s="1" t="s">
        <v>125</v>
      </c>
      <c r="G310" s="1" t="s">
        <v>6</v>
      </c>
      <c r="H310" s="10" t="str">
        <f>CONCATENATE(Connectors[[#This Row],[FROMINSTANCE]],"::",Connectors[[#This Row],[FROMFIELD]],"::",Connectors[[#This Row],[FROMINSTANCETYPE]])</f>
        <v>EXP_ofs_ar_invoices::kme_ar_inv_no::Expression</v>
      </c>
      <c r="I310" s="10" t="str">
        <f>CONCATENATE(Connectors[[#This Row],[TOINSTANCE]],"::",Connectors[[#This Row],[TOFIELD]],"::",Connectors[[#This Row],[TOINSTANCETYPE]])</f>
        <v>EXP_ins_upd::kme_ar_inv_no::Expression</v>
      </c>
    </row>
    <row r="311" spans="1:9" x14ac:dyDescent="0.25">
      <c r="A311" s="25" t="str">
        <f xml:space="preserve"> MapNameLkup</f>
        <v>m_ofs_trex_ar_invoices</v>
      </c>
      <c r="B311" s="1" t="s">
        <v>859</v>
      </c>
      <c r="C311" s="1" t="s">
        <v>126</v>
      </c>
      <c r="D311" s="1" t="s">
        <v>6</v>
      </c>
      <c r="E311" s="1" t="s">
        <v>857</v>
      </c>
      <c r="F311" s="1" t="s">
        <v>126</v>
      </c>
      <c r="G311" s="1" t="s">
        <v>6</v>
      </c>
      <c r="H311" s="10" t="str">
        <f>CONCATENATE(Connectors[[#This Row],[FROMINSTANCE]],"::",Connectors[[#This Row],[FROMFIELD]],"::",Connectors[[#This Row],[FROMINSTANCETYPE]])</f>
        <v>EXP_ofs_ar_invoices::kme_ar_inv_amd_no::Expression</v>
      </c>
      <c r="I311" s="10" t="str">
        <f>CONCATENATE(Connectors[[#This Row],[TOINSTANCE]],"::",Connectors[[#This Row],[TOFIELD]],"::",Connectors[[#This Row],[TOINSTANCETYPE]])</f>
        <v>EXP_ins_upd::kme_ar_inv_amd_no::Expression</v>
      </c>
    </row>
    <row r="312" spans="1:9" x14ac:dyDescent="0.25">
      <c r="A312" s="25" t="str">
        <f xml:space="preserve"> MapNameLkup</f>
        <v>m_ofs_trex_ar_invoices</v>
      </c>
      <c r="B312" s="1" t="s">
        <v>859</v>
      </c>
      <c r="C312" s="1" t="s">
        <v>127</v>
      </c>
      <c r="D312" s="1" t="s">
        <v>6</v>
      </c>
      <c r="E312" s="1" t="s">
        <v>857</v>
      </c>
      <c r="F312" s="1" t="s">
        <v>127</v>
      </c>
      <c r="G312" s="1" t="s">
        <v>6</v>
      </c>
      <c r="H312" s="10" t="str">
        <f>CONCATENATE(Connectors[[#This Row],[FROMINSTANCE]],"::",Connectors[[#This Row],[FROMFIELD]],"::",Connectors[[#This Row],[FROMINSTANCETYPE]])</f>
        <v>EXP_ofs_ar_invoices::invoice_date::Expression</v>
      </c>
      <c r="I312" s="10" t="str">
        <f>CONCATENATE(Connectors[[#This Row],[TOINSTANCE]],"::",Connectors[[#This Row],[TOFIELD]],"::",Connectors[[#This Row],[TOINSTANCETYPE]])</f>
        <v>EXP_ins_upd::invoice_date::Expression</v>
      </c>
    </row>
    <row r="313" spans="1:9" x14ac:dyDescent="0.25">
      <c r="A313" s="25" t="str">
        <f xml:space="preserve"> MapNameLkup</f>
        <v>m_ofs_trex_ar_invoices</v>
      </c>
      <c r="B313" s="1" t="s">
        <v>859</v>
      </c>
      <c r="C313" s="1" t="s">
        <v>130</v>
      </c>
      <c r="D313" s="1" t="s">
        <v>6</v>
      </c>
      <c r="E313" s="1" t="s">
        <v>857</v>
      </c>
      <c r="F313" s="1" t="s">
        <v>130</v>
      </c>
      <c r="G313" s="1" t="s">
        <v>6</v>
      </c>
      <c r="H313" s="10" t="str">
        <f>CONCATENATE(Connectors[[#This Row],[FROMINSTANCE]],"::",Connectors[[#This Row],[FROMFIELD]],"::",Connectors[[#This Row],[FROMINSTANCETYPE]])</f>
        <v>EXP_ofs_ar_invoices::transaction_type::Expression</v>
      </c>
      <c r="I313" s="10" t="str">
        <f>CONCATENATE(Connectors[[#This Row],[TOINSTANCE]],"::",Connectors[[#This Row],[TOFIELD]],"::",Connectors[[#This Row],[TOINSTANCETYPE]])</f>
        <v>EXP_ins_upd::transaction_type::Expression</v>
      </c>
    </row>
    <row r="314" spans="1:9" x14ac:dyDescent="0.25">
      <c r="A314" s="25" t="str">
        <f xml:space="preserve"> MapNameLkup</f>
        <v>m_ofs_trex_ar_invoices</v>
      </c>
      <c r="B314" s="1" t="s">
        <v>859</v>
      </c>
      <c r="C314" s="1" t="s">
        <v>144</v>
      </c>
      <c r="D314" s="1" t="s">
        <v>6</v>
      </c>
      <c r="E314" s="1" t="s">
        <v>857</v>
      </c>
      <c r="F314" s="1" t="s">
        <v>144</v>
      </c>
      <c r="G314" s="1" t="s">
        <v>6</v>
      </c>
      <c r="H314" s="10" t="str">
        <f>CONCATENATE(Connectors[[#This Row],[FROMINSTANCE]],"::",Connectors[[#This Row],[FROMFIELD]],"::",Connectors[[#This Row],[FROMINSTANCETYPE]])</f>
        <v>EXP_ofs_ar_invoices::invoice_gl_posted_date::Expression</v>
      </c>
      <c r="I314" s="10" t="str">
        <f>CONCATENATE(Connectors[[#This Row],[TOINSTANCE]],"::",Connectors[[#This Row],[TOFIELD]],"::",Connectors[[#This Row],[TOINSTANCETYPE]])</f>
        <v>EXP_ins_upd::invoice_gl_posted_date::Expression</v>
      </c>
    </row>
    <row r="315" spans="1:9" x14ac:dyDescent="0.25">
      <c r="A315" s="25" t="str">
        <f xml:space="preserve"> MapNameLkup</f>
        <v>m_ofs_trex_ar_invoices</v>
      </c>
      <c r="B315" s="1" t="s">
        <v>859</v>
      </c>
      <c r="C315" s="1" t="s">
        <v>145</v>
      </c>
      <c r="D315" s="1" t="s">
        <v>6</v>
      </c>
      <c r="E315" s="1" t="s">
        <v>857</v>
      </c>
      <c r="F315" s="1" t="s">
        <v>145</v>
      </c>
      <c r="G315" s="1" t="s">
        <v>6</v>
      </c>
      <c r="H315" s="10" t="str">
        <f>CONCATENATE(Connectors[[#This Row],[FROMINSTANCE]],"::",Connectors[[#This Row],[FROMFIELD]],"::",Connectors[[#This Row],[FROMINSTANCETYPE]])</f>
        <v>EXP_ofs_ar_invoices::invoice_gl_date::Expression</v>
      </c>
      <c r="I315" s="10" t="str">
        <f>CONCATENATE(Connectors[[#This Row],[TOINSTANCE]],"::",Connectors[[#This Row],[TOFIELD]],"::",Connectors[[#This Row],[TOINSTANCETYPE]])</f>
        <v>EXP_ins_upd::invoice_gl_date::Expression</v>
      </c>
    </row>
    <row r="316" spans="1:9" x14ac:dyDescent="0.25">
      <c r="A316" s="25" t="str">
        <f xml:space="preserve"> MapNameLkup</f>
        <v>m_ofs_trex_ar_invoices</v>
      </c>
      <c r="B316" s="1" t="s">
        <v>859</v>
      </c>
      <c r="C316" s="1" t="s">
        <v>873</v>
      </c>
      <c r="D316" s="1" t="s">
        <v>6</v>
      </c>
      <c r="E316" s="1" t="s">
        <v>857</v>
      </c>
      <c r="F316" s="1" t="s">
        <v>873</v>
      </c>
      <c r="G316" s="1" t="s">
        <v>6</v>
      </c>
      <c r="H316" s="10" t="str">
        <f>CONCATENATE(Connectors[[#This Row],[FROMINSTANCE]],"::",Connectors[[#This Row],[FROMFIELD]],"::",Connectors[[#This Row],[FROMINSTANCETYPE]])</f>
        <v>EXP_ofs_ar_invoices::o_acctd_amount::Expression</v>
      </c>
      <c r="I316" s="10" t="str">
        <f>CONCATENATE(Connectors[[#This Row],[TOINSTANCE]],"::",Connectors[[#This Row],[TOFIELD]],"::",Connectors[[#This Row],[TOINSTANCETYPE]])</f>
        <v>EXP_ins_upd::o_acctd_amount::Expression</v>
      </c>
    </row>
    <row r="317" spans="1:9" x14ac:dyDescent="0.25">
      <c r="A317" s="25" t="str">
        <f xml:space="preserve"> MapNameLkup</f>
        <v>m_ofs_trex_ar_invoices</v>
      </c>
      <c r="B317" s="1" t="s">
        <v>859</v>
      </c>
      <c r="C317" s="1" t="s">
        <v>876</v>
      </c>
      <c r="D317" s="1" t="s">
        <v>6</v>
      </c>
      <c r="E317" s="1" t="s">
        <v>857</v>
      </c>
      <c r="F317" s="1" t="s">
        <v>876</v>
      </c>
      <c r="G317" s="1" t="s">
        <v>6</v>
      </c>
      <c r="H317" s="10" t="str">
        <f>CONCATENATE(Connectors[[#This Row],[FROMINSTANCE]],"::",Connectors[[#This Row],[FROMFIELD]],"::",Connectors[[#This Row],[FROMINSTANCETYPE]])</f>
        <v>EXP_ofs_ar_invoices::o_amount_applied::Expression</v>
      </c>
      <c r="I317" s="10" t="str">
        <f>CONCATENATE(Connectors[[#This Row],[TOINSTANCE]],"::",Connectors[[#This Row],[TOFIELD]],"::",Connectors[[#This Row],[TOINSTANCETYPE]])</f>
        <v>EXP_ins_upd::o_amount_applied::Expression</v>
      </c>
    </row>
    <row r="318" spans="1:9" x14ac:dyDescent="0.25">
      <c r="A318" s="25" t="str">
        <f xml:space="preserve"> MapNameLkup</f>
        <v>m_ofs_trex_ar_invoices</v>
      </c>
      <c r="B318" s="1" t="s">
        <v>859</v>
      </c>
      <c r="C318" s="1" t="s">
        <v>878</v>
      </c>
      <c r="D318" s="1" t="s">
        <v>6</v>
      </c>
      <c r="E318" s="1" t="s">
        <v>857</v>
      </c>
      <c r="F318" s="1" t="s">
        <v>878</v>
      </c>
      <c r="G318" s="1" t="s">
        <v>6</v>
      </c>
      <c r="H318" s="10" t="str">
        <f>CONCATENATE(Connectors[[#This Row],[FROMINSTANCE]],"::",Connectors[[#This Row],[FROMFIELD]],"::",Connectors[[#This Row],[FROMINSTANCETYPE]])</f>
        <v>EXP_ofs_ar_invoices::o_amount_due_remaining::Expression</v>
      </c>
      <c r="I318" s="10" t="str">
        <f>CONCATENATE(Connectors[[#This Row],[TOINSTANCE]],"::",Connectors[[#This Row],[TOFIELD]],"::",Connectors[[#This Row],[TOINSTANCETYPE]])</f>
        <v>EXP_ins_upd::o_amount_due_remaining::Expression</v>
      </c>
    </row>
    <row r="319" spans="1:9" x14ac:dyDescent="0.25">
      <c r="A319" s="25" t="str">
        <f xml:space="preserve"> MapNameLkup</f>
        <v>m_ofs_trex_ar_invoices</v>
      </c>
      <c r="B319" s="1" t="s">
        <v>859</v>
      </c>
      <c r="C319" s="1" t="s">
        <v>137</v>
      </c>
      <c r="D319" s="1" t="s">
        <v>6</v>
      </c>
      <c r="E319" s="1" t="s">
        <v>857</v>
      </c>
      <c r="F319" s="1" t="s">
        <v>137</v>
      </c>
      <c r="G319" s="1" t="s">
        <v>6</v>
      </c>
      <c r="H319" s="10" t="str">
        <f>CONCATENATE(Connectors[[#This Row],[FROMINSTANCE]],"::",Connectors[[#This Row],[FROMFIELD]],"::",Connectors[[#This Row],[FROMINSTANCETYPE]])</f>
        <v>EXP_ofs_ar_invoices::currency_code::Expression</v>
      </c>
      <c r="I319" s="10" t="str">
        <f>CONCATENATE(Connectors[[#This Row],[TOINSTANCE]],"::",Connectors[[#This Row],[TOFIELD]],"::",Connectors[[#This Row],[TOINSTANCETYPE]])</f>
        <v>EXP_ins_upd::currency_code::Expression</v>
      </c>
    </row>
    <row r="320" spans="1:9" x14ac:dyDescent="0.25">
      <c r="A320" s="25" t="str">
        <f xml:space="preserve"> MapNameLkup</f>
        <v>m_ofs_trex_ar_invoices</v>
      </c>
      <c r="B320" s="1" t="s">
        <v>859</v>
      </c>
      <c r="C320" s="1" t="s">
        <v>138</v>
      </c>
      <c r="D320" s="1" t="s">
        <v>6</v>
      </c>
      <c r="E320" s="1" t="s">
        <v>857</v>
      </c>
      <c r="F320" s="1" t="s">
        <v>138</v>
      </c>
      <c r="G320" s="1" t="s">
        <v>6</v>
      </c>
      <c r="H320" s="10" t="str">
        <f>CONCATENATE(Connectors[[#This Row],[FROMINSTANCE]],"::",Connectors[[#This Row],[FROMFIELD]],"::",Connectors[[#This Row],[FROMINSTANCETYPE]])</f>
        <v>EXP_ofs_ar_invoices::payment_terms::Expression</v>
      </c>
      <c r="I320" s="10" t="str">
        <f>CONCATENATE(Connectors[[#This Row],[TOINSTANCE]],"::",Connectors[[#This Row],[TOFIELD]],"::",Connectors[[#This Row],[TOINSTANCETYPE]])</f>
        <v>EXP_ins_upd::payment_terms::Expression</v>
      </c>
    </row>
    <row r="321" spans="1:9" x14ac:dyDescent="0.25">
      <c r="A321" s="25" t="str">
        <f xml:space="preserve"> MapNameLkup</f>
        <v>m_ofs_trex_ar_invoices</v>
      </c>
      <c r="B321" s="1" t="s">
        <v>859</v>
      </c>
      <c r="C321" s="1" t="s">
        <v>140</v>
      </c>
      <c r="D321" s="1" t="s">
        <v>6</v>
      </c>
      <c r="E321" s="1" t="s">
        <v>857</v>
      </c>
      <c r="F321" s="1" t="s">
        <v>140</v>
      </c>
      <c r="G321" s="1" t="s">
        <v>6</v>
      </c>
      <c r="H321" s="10" t="str">
        <f>CONCATENATE(Connectors[[#This Row],[FROMINSTANCE]],"::",Connectors[[#This Row],[FROMFIELD]],"::",Connectors[[#This Row],[FROMINSTANCETYPE]])</f>
        <v>EXP_ofs_ar_invoices::created_by::Expression</v>
      </c>
      <c r="I321" s="10" t="str">
        <f>CONCATENATE(Connectors[[#This Row],[TOINSTANCE]],"::",Connectors[[#This Row],[TOFIELD]],"::",Connectors[[#This Row],[TOINSTANCETYPE]])</f>
        <v>EXP_ins_upd::created_by::Expression</v>
      </c>
    </row>
    <row r="322" spans="1:9" x14ac:dyDescent="0.25">
      <c r="A322" s="25" t="str">
        <f xml:space="preserve"> MapNameLkup</f>
        <v>m_ofs_trex_ar_invoices</v>
      </c>
      <c r="B322" s="1" t="s">
        <v>859</v>
      </c>
      <c r="C322" s="1" t="s">
        <v>141</v>
      </c>
      <c r="D322" s="1" t="s">
        <v>6</v>
      </c>
      <c r="E322" s="1" t="s">
        <v>857</v>
      </c>
      <c r="F322" s="1" t="s">
        <v>141</v>
      </c>
      <c r="G322" s="1" t="s">
        <v>6</v>
      </c>
      <c r="H322" s="10" t="str">
        <f>CONCATENATE(Connectors[[#This Row],[FROMINSTANCE]],"::",Connectors[[#This Row],[FROMFIELD]],"::",Connectors[[#This Row],[FROMINSTANCETYPE]])</f>
        <v>EXP_ofs_ar_invoices::last_updated_by::Expression</v>
      </c>
      <c r="I322" s="10" t="str">
        <f>CONCATENATE(Connectors[[#This Row],[TOINSTANCE]],"::",Connectors[[#This Row],[TOFIELD]],"::",Connectors[[#This Row],[TOINSTANCETYPE]])</f>
        <v>EXP_ins_upd::last_updated_by::Expression</v>
      </c>
    </row>
    <row r="323" spans="1:9" x14ac:dyDescent="0.25">
      <c r="A323" s="25" t="str">
        <f xml:space="preserve"> MapNameLkup</f>
        <v>m_ofs_trex_ar_invoices</v>
      </c>
      <c r="B323" s="1" t="s">
        <v>859</v>
      </c>
      <c r="C323" s="1" t="s">
        <v>142</v>
      </c>
      <c r="D323" s="1" t="s">
        <v>6</v>
      </c>
      <c r="E323" s="1" t="s">
        <v>857</v>
      </c>
      <c r="F323" s="1" t="s">
        <v>142</v>
      </c>
      <c r="G323" s="1" t="s">
        <v>6</v>
      </c>
      <c r="H323" s="10" t="str">
        <f>CONCATENATE(Connectors[[#This Row],[FROMINSTANCE]],"::",Connectors[[#This Row],[FROMFIELD]],"::",Connectors[[#This Row],[FROMINSTANCETYPE]])</f>
        <v>EXP_ofs_ar_invoices::invoice_creation_date::Expression</v>
      </c>
      <c r="I323" s="10" t="str">
        <f>CONCATENATE(Connectors[[#This Row],[TOINSTANCE]],"::",Connectors[[#This Row],[TOFIELD]],"::",Connectors[[#This Row],[TOINSTANCETYPE]])</f>
        <v>EXP_ins_upd::invoice_creation_date::Expression</v>
      </c>
    </row>
    <row r="324" spans="1:9" x14ac:dyDescent="0.25">
      <c r="A324" s="25" t="str">
        <f xml:space="preserve"> MapNameLkup</f>
        <v>m_ofs_trex_ar_invoices</v>
      </c>
      <c r="B324" s="1" t="s">
        <v>859</v>
      </c>
      <c r="C324" s="1" t="s">
        <v>143</v>
      </c>
      <c r="D324" s="1" t="s">
        <v>6</v>
      </c>
      <c r="E324" s="1" t="s">
        <v>857</v>
      </c>
      <c r="F324" s="1" t="s">
        <v>143</v>
      </c>
      <c r="G324" s="1" t="s">
        <v>6</v>
      </c>
      <c r="H324" s="10" t="str">
        <f>CONCATENATE(Connectors[[#This Row],[FROMINSTANCE]],"::",Connectors[[#This Row],[FROMFIELD]],"::",Connectors[[#This Row],[FROMINSTANCETYPE]])</f>
        <v>EXP_ofs_ar_invoices::invoice_last_update_date::Expression</v>
      </c>
      <c r="I324" s="10" t="str">
        <f>CONCATENATE(Connectors[[#This Row],[TOINSTANCE]],"::",Connectors[[#This Row],[TOFIELD]],"::",Connectors[[#This Row],[TOINSTANCETYPE]])</f>
        <v>EXP_ins_upd::invoice_last_update_date::Expression</v>
      </c>
    </row>
    <row r="325" spans="1:9" x14ac:dyDescent="0.25">
      <c r="A325" s="25" t="str">
        <f xml:space="preserve"> MapNameLkup</f>
        <v>m_ofs_trex_ar_invoices</v>
      </c>
      <c r="B325" s="1" t="s">
        <v>859</v>
      </c>
      <c r="C325" s="1" t="s">
        <v>128</v>
      </c>
      <c r="D325" s="1" t="s">
        <v>6</v>
      </c>
      <c r="E325" s="1" t="s">
        <v>857</v>
      </c>
      <c r="F325" s="1" t="s">
        <v>128</v>
      </c>
      <c r="G325" s="1" t="s">
        <v>6</v>
      </c>
      <c r="H325" s="10" t="str">
        <f>CONCATENATE(Connectors[[#This Row],[FROMINSTANCE]],"::",Connectors[[#This Row],[FROMFIELD]],"::",Connectors[[#This Row],[FROMINSTANCETYPE]])</f>
        <v>EXP_ofs_ar_invoices::due_date::Expression</v>
      </c>
      <c r="I325" s="10" t="str">
        <f>CONCATENATE(Connectors[[#This Row],[TOINSTANCE]],"::",Connectors[[#This Row],[TOFIELD]],"::",Connectors[[#This Row],[TOINSTANCETYPE]])</f>
        <v>EXP_ins_upd::due_date::Expression</v>
      </c>
    </row>
    <row r="326" spans="1:9" x14ac:dyDescent="0.25">
      <c r="A326" s="25" t="str">
        <f xml:space="preserve"> MapNameLkup</f>
        <v>m_ofs_trex_ar_invoices</v>
      </c>
      <c r="B326" s="1" t="s">
        <v>859</v>
      </c>
      <c r="C326" s="1" t="s">
        <v>877</v>
      </c>
      <c r="D326" s="1" t="s">
        <v>6</v>
      </c>
      <c r="E326" s="1" t="s">
        <v>857</v>
      </c>
      <c r="F326" s="1" t="s">
        <v>877</v>
      </c>
      <c r="G326" s="1" t="s">
        <v>6</v>
      </c>
      <c r="H326" s="10" t="str">
        <f>CONCATENATE(Connectors[[#This Row],[FROMINSTANCE]],"::",Connectors[[#This Row],[FROMFIELD]],"::",Connectors[[#This Row],[FROMINSTANCETYPE]])</f>
        <v>EXP_ofs_ar_invoices::o_acctd_amount_due_remaining::Expression</v>
      </c>
      <c r="I326" s="10" t="str">
        <f>CONCATENATE(Connectors[[#This Row],[TOINSTANCE]],"::",Connectors[[#This Row],[TOFIELD]],"::",Connectors[[#This Row],[TOINSTANCETYPE]])</f>
        <v>EXP_ins_upd::o_acctd_amount_due_remaining::Expression</v>
      </c>
    </row>
    <row r="327" spans="1:9" x14ac:dyDescent="0.25">
      <c r="A327" s="25" t="str">
        <f xml:space="preserve"> MapNameLkup</f>
        <v>m_ofs_trex_ar_invoices</v>
      </c>
      <c r="B327" s="1" t="s">
        <v>859</v>
      </c>
      <c r="C327" s="1" t="s">
        <v>146</v>
      </c>
      <c r="D327" s="1" t="s">
        <v>6</v>
      </c>
      <c r="E327" s="1" t="s">
        <v>857</v>
      </c>
      <c r="F327" s="1" t="s">
        <v>146</v>
      </c>
      <c r="G327" s="1" t="s">
        <v>6</v>
      </c>
      <c r="H327" s="10" t="str">
        <f>CONCATENATE(Connectors[[#This Row],[FROMINSTANCE]],"::",Connectors[[#This Row],[FROMFIELD]],"::",Connectors[[#This Row],[FROMINSTANCETYPE]])</f>
        <v>EXP_ofs_ar_invoices::aud_dim_id::Expression</v>
      </c>
      <c r="I327" s="10" t="str">
        <f>CONCATENATE(Connectors[[#This Row],[TOINSTANCE]],"::",Connectors[[#This Row],[TOFIELD]],"::",Connectors[[#This Row],[TOINSTANCETYPE]])</f>
        <v>EXP_ins_upd::aud_dim_id::Expression</v>
      </c>
    </row>
    <row r="328" spans="1:9" x14ac:dyDescent="0.25">
      <c r="A328" s="25" t="str">
        <f xml:space="preserve"> MapNameLkup</f>
        <v>m_ofs_trex_ar_invoices</v>
      </c>
      <c r="B328" s="1" t="s">
        <v>859</v>
      </c>
      <c r="C328" s="1" t="s">
        <v>147</v>
      </c>
      <c r="D328" s="1" t="s">
        <v>6</v>
      </c>
      <c r="E328" s="1" t="s">
        <v>857</v>
      </c>
      <c r="F328" s="1" t="s">
        <v>147</v>
      </c>
      <c r="G328" s="1" t="s">
        <v>6</v>
      </c>
      <c r="H328" s="10" t="str">
        <f>CONCATENATE(Connectors[[#This Row],[FROMINSTANCE]],"::",Connectors[[#This Row],[FROMFIELD]],"::",Connectors[[#This Row],[FROMINSTANCETYPE]])</f>
        <v>EXP_ofs_ar_invoices::prcs_sts_cd::Expression</v>
      </c>
      <c r="I328" s="10" t="str">
        <f>CONCATENATE(Connectors[[#This Row],[TOINSTANCE]],"::",Connectors[[#This Row],[TOFIELD]],"::",Connectors[[#This Row],[TOINSTANCETYPE]])</f>
        <v>EXP_ins_upd::prcs_sts_cd::Expression</v>
      </c>
    </row>
    <row r="329" spans="1:9" x14ac:dyDescent="0.25">
      <c r="A329" s="25" t="str">
        <f xml:space="preserve"> MapNameLkup</f>
        <v>m_ofs_trex_ar_invoices</v>
      </c>
      <c r="B329" s="1" t="s">
        <v>859</v>
      </c>
      <c r="C329" s="1" t="s">
        <v>879</v>
      </c>
      <c r="D329" s="1" t="s">
        <v>6</v>
      </c>
      <c r="E329" s="1" t="s">
        <v>857</v>
      </c>
      <c r="F329" s="1" t="s">
        <v>879</v>
      </c>
      <c r="G329" s="1" t="s">
        <v>6</v>
      </c>
      <c r="H329" s="10" t="str">
        <f>CONCATENATE(Connectors[[#This Row],[FROMINSTANCE]],"::",Connectors[[#This Row],[FROMFIELD]],"::",Connectors[[#This Row],[FROMINSTANCETYPE]])</f>
        <v>EXP_ofs_ar_invoices::intf_sts_cd::Expression</v>
      </c>
      <c r="I329" s="10" t="str">
        <f>CONCATENATE(Connectors[[#This Row],[TOINSTANCE]],"::",Connectors[[#This Row],[TOFIELD]],"::",Connectors[[#This Row],[TOINSTANCETYPE]])</f>
        <v>EXP_ins_upd::intf_sts_cd::Expression</v>
      </c>
    </row>
    <row r="330" spans="1:9" x14ac:dyDescent="0.25">
      <c r="A330" s="25" t="str">
        <f xml:space="preserve"> MapNameLkup</f>
        <v>m_ofs_trex_ar_invoices</v>
      </c>
      <c r="B330" s="1" t="s">
        <v>859</v>
      </c>
      <c r="C330" s="1" t="s">
        <v>866</v>
      </c>
      <c r="D330" s="1" t="s">
        <v>6</v>
      </c>
      <c r="E330" s="1" t="s">
        <v>857</v>
      </c>
      <c r="F330" s="1" t="s">
        <v>866</v>
      </c>
      <c r="G330" s="1" t="s">
        <v>6</v>
      </c>
      <c r="H330" s="10" t="str">
        <f>CONCATENATE(Connectors[[#This Row],[FROMINSTANCE]],"::",Connectors[[#This Row],[FROMFIELD]],"::",Connectors[[#This Row],[FROMINSTANCETYPE]])</f>
        <v>EXP_ofs_ar_invoices::session_start_time::Expression</v>
      </c>
      <c r="I330" s="10" t="str">
        <f>CONCATENATE(Connectors[[#This Row],[TOINSTANCE]],"::",Connectors[[#This Row],[TOFIELD]],"::",Connectors[[#This Row],[TOINSTANCETYPE]])</f>
        <v>EXP_ins_upd::session_start_time::Expression</v>
      </c>
    </row>
    <row r="331" spans="1:9" x14ac:dyDescent="0.25">
      <c r="A331" s="25" t="str">
        <f xml:space="preserve"> MapNameLkup</f>
        <v>m_ofs_trex_ar_invoices</v>
      </c>
      <c r="B331" s="1" t="s">
        <v>859</v>
      </c>
      <c r="C331" s="1" t="s">
        <v>880</v>
      </c>
      <c r="D331" s="1" t="s">
        <v>6</v>
      </c>
      <c r="E331" s="1" t="s">
        <v>857</v>
      </c>
      <c r="F331" s="1" t="s">
        <v>880</v>
      </c>
      <c r="G331" s="1" t="s">
        <v>6</v>
      </c>
      <c r="H331" s="10" t="str">
        <f>CONCATENATE(Connectors[[#This Row],[FROMINSTANCE]],"::",Connectors[[#This Row],[FROMFIELD]],"::",Connectors[[#This Row],[FROMINSTANCETYPE]])</f>
        <v>EXP_ofs_ar_invoices::user_cd::Expression</v>
      </c>
      <c r="I331" s="10" t="str">
        <f>CONCATENATE(Connectors[[#This Row],[TOINSTANCE]],"::",Connectors[[#This Row],[TOFIELD]],"::",Connectors[[#This Row],[TOINSTANCETYPE]])</f>
        <v>EXP_ins_upd::user_cd::Expression</v>
      </c>
    </row>
    <row r="332" spans="1:9" x14ac:dyDescent="0.25">
      <c r="A332" s="25" t="str">
        <f xml:space="preserve"> MapNameLkup</f>
        <v>m_ofs_trex_ar_invoices</v>
      </c>
      <c r="B332" s="1" t="s">
        <v>859</v>
      </c>
      <c r="C332" s="1" t="s">
        <v>113</v>
      </c>
      <c r="D332" s="1" t="s">
        <v>6</v>
      </c>
      <c r="E332" s="1" t="s">
        <v>857</v>
      </c>
      <c r="F332" s="1" t="s">
        <v>113</v>
      </c>
      <c r="G332" s="1" t="s">
        <v>6</v>
      </c>
      <c r="H332" s="10" t="str">
        <f>CONCATENATE(Connectors[[#This Row],[FROMINSTANCE]],"::",Connectors[[#This Row],[FROMFIELD]],"::",Connectors[[#This Row],[FROMINSTANCETYPE]])</f>
        <v>EXP_ofs_ar_invoices::etl_trans_id::Expression</v>
      </c>
      <c r="I332" s="10" t="str">
        <f>CONCATENATE(Connectors[[#This Row],[TOINSTANCE]],"::",Connectors[[#This Row],[TOFIELD]],"::",Connectors[[#This Row],[TOINSTANCETYPE]])</f>
        <v>EXP_ins_upd::etl_trans_id::Expression</v>
      </c>
    </row>
    <row r="333" spans="1:9" x14ac:dyDescent="0.25">
      <c r="A333" s="25" t="str">
        <f xml:space="preserve"> MapNameLkup</f>
        <v>m_ofs_trex_ar_invoices</v>
      </c>
      <c r="B333" s="1" t="s">
        <v>859</v>
      </c>
      <c r="C333" s="1" t="s">
        <v>129</v>
      </c>
      <c r="D333" s="1" t="s">
        <v>6</v>
      </c>
      <c r="E333" s="1" t="s">
        <v>857</v>
      </c>
      <c r="F333" s="1" t="s">
        <v>129</v>
      </c>
      <c r="G333" s="1" t="s">
        <v>6</v>
      </c>
      <c r="H333" s="10" t="str">
        <f>CONCATENATE(Connectors[[#This Row],[FROMINSTANCE]],"::",Connectors[[#This Row],[FROMFIELD]],"::",Connectors[[#This Row],[FROMINSTANCETYPE]])</f>
        <v>EXP_ofs_ar_invoices::offset_nat_acct_no::Expression</v>
      </c>
      <c r="I333" s="10" t="str">
        <f>CONCATENATE(Connectors[[#This Row],[TOINSTANCE]],"::",Connectors[[#This Row],[TOFIELD]],"::",Connectors[[#This Row],[TOINSTANCETYPE]])</f>
        <v>EXP_ins_upd::offset_nat_acct_no::Expression</v>
      </c>
    </row>
    <row r="334" spans="1:9" x14ac:dyDescent="0.25">
      <c r="A334" s="25" t="str">
        <f xml:space="preserve"> MapNameLkup</f>
        <v>m_ofs_trex_ar_invoices</v>
      </c>
      <c r="B334" s="1" t="s">
        <v>857</v>
      </c>
      <c r="C334" s="1" t="s">
        <v>878</v>
      </c>
      <c r="D334" s="1" t="s">
        <v>6</v>
      </c>
      <c r="E334" s="1" t="s">
        <v>861</v>
      </c>
      <c r="F334" s="1" t="s">
        <v>878</v>
      </c>
      <c r="G334" s="1" t="s">
        <v>863</v>
      </c>
      <c r="H334" s="10" t="str">
        <f>CONCATENATE(Connectors[[#This Row],[FROMINSTANCE]],"::",Connectors[[#This Row],[FROMFIELD]],"::",Connectors[[#This Row],[FROMINSTANCETYPE]])</f>
        <v>EXP_ins_upd::o_amount_due_remaining::Expression</v>
      </c>
      <c r="I334" s="10" t="str">
        <f>CONCATENATE(Connectors[[#This Row],[TOINSTANCE]],"::",Connectors[[#This Row],[TOFIELD]],"::",Connectors[[#This Row],[TOINSTANCETYPE]])</f>
        <v>FLTR_insert::o_amount_due_remaining::Filter</v>
      </c>
    </row>
    <row r="335" spans="1:9" x14ac:dyDescent="0.25">
      <c r="A335" s="25" t="str">
        <f xml:space="preserve"> MapNameLkup</f>
        <v>m_ofs_trex_ar_invoices</v>
      </c>
      <c r="B335" s="1" t="s">
        <v>857</v>
      </c>
      <c r="C335" s="1" t="s">
        <v>879</v>
      </c>
      <c r="D335" s="1" t="s">
        <v>6</v>
      </c>
      <c r="E335" s="1" t="s">
        <v>861</v>
      </c>
      <c r="F335" s="1" t="s">
        <v>879</v>
      </c>
      <c r="G335" s="1" t="s">
        <v>863</v>
      </c>
      <c r="H335" s="10" t="str">
        <f>CONCATENATE(Connectors[[#This Row],[FROMINSTANCE]],"::",Connectors[[#This Row],[FROMFIELD]],"::",Connectors[[#This Row],[FROMINSTANCETYPE]])</f>
        <v>EXP_ins_upd::intf_sts_cd::Expression</v>
      </c>
      <c r="I335" s="10" t="str">
        <f>CONCATENATE(Connectors[[#This Row],[TOINSTANCE]],"::",Connectors[[#This Row],[TOFIELD]],"::",Connectors[[#This Row],[TOINSTANCETYPE]])</f>
        <v>FLTR_insert::intf_sts_cd::Filter</v>
      </c>
    </row>
    <row r="336" spans="1:9" x14ac:dyDescent="0.25">
      <c r="A336" s="25" t="str">
        <f xml:space="preserve"> MapNameLkup</f>
        <v>m_ofs_trex_ar_invoices</v>
      </c>
      <c r="B336" s="1" t="s">
        <v>857</v>
      </c>
      <c r="C336" s="1" t="s">
        <v>130</v>
      </c>
      <c r="D336" s="1" t="s">
        <v>6</v>
      </c>
      <c r="E336" s="1" t="s">
        <v>861</v>
      </c>
      <c r="F336" s="1" t="s">
        <v>130</v>
      </c>
      <c r="G336" s="1" t="s">
        <v>863</v>
      </c>
      <c r="H336" s="10" t="str">
        <f>CONCATENATE(Connectors[[#This Row],[FROMINSTANCE]],"::",Connectors[[#This Row],[FROMFIELD]],"::",Connectors[[#This Row],[FROMINSTANCETYPE]])</f>
        <v>EXP_ins_upd::transaction_type::Expression</v>
      </c>
      <c r="I336" s="10" t="str">
        <f>CONCATENATE(Connectors[[#This Row],[TOINSTANCE]],"::",Connectors[[#This Row],[TOFIELD]],"::",Connectors[[#This Row],[TOINSTANCETYPE]])</f>
        <v>FLTR_insert::transaction_type::Filter</v>
      </c>
    </row>
    <row r="337" spans="1:9" x14ac:dyDescent="0.25">
      <c r="A337" s="25" t="str">
        <f xml:space="preserve"> MapNameLkup</f>
        <v>m_ofs_trex_ar_invoices</v>
      </c>
      <c r="B337" s="1" t="s">
        <v>857</v>
      </c>
      <c r="C337" s="1" t="s">
        <v>144</v>
      </c>
      <c r="D337" s="1" t="s">
        <v>6</v>
      </c>
      <c r="E337" s="1" t="s">
        <v>861</v>
      </c>
      <c r="F337" s="1" t="s">
        <v>144</v>
      </c>
      <c r="G337" s="1" t="s">
        <v>863</v>
      </c>
      <c r="H337" s="10" t="str">
        <f>CONCATENATE(Connectors[[#This Row],[FROMINSTANCE]],"::",Connectors[[#This Row],[FROMFIELD]],"::",Connectors[[#This Row],[FROMINSTANCETYPE]])</f>
        <v>EXP_ins_upd::invoice_gl_posted_date::Expression</v>
      </c>
      <c r="I337" s="10" t="str">
        <f>CONCATENATE(Connectors[[#This Row],[TOINSTANCE]],"::",Connectors[[#This Row],[TOFIELD]],"::",Connectors[[#This Row],[TOINSTANCETYPE]])</f>
        <v>FLTR_insert::invoice_gl_posted_date::Filter</v>
      </c>
    </row>
    <row r="338" spans="1:9" x14ac:dyDescent="0.25">
      <c r="A338" s="25" t="str">
        <f xml:space="preserve"> MapNameLkup</f>
        <v>m_ofs_trex_ar_invoices</v>
      </c>
      <c r="B338" s="1" t="s">
        <v>857</v>
      </c>
      <c r="C338" s="1" t="s">
        <v>145</v>
      </c>
      <c r="D338" s="1" t="s">
        <v>6</v>
      </c>
      <c r="E338" s="1" t="s">
        <v>861</v>
      </c>
      <c r="F338" s="1" t="s">
        <v>145</v>
      </c>
      <c r="G338" s="1" t="s">
        <v>863</v>
      </c>
      <c r="H338" s="10" t="str">
        <f>CONCATENATE(Connectors[[#This Row],[FROMINSTANCE]],"::",Connectors[[#This Row],[FROMFIELD]],"::",Connectors[[#This Row],[FROMINSTANCETYPE]])</f>
        <v>EXP_ins_upd::invoice_gl_date::Expression</v>
      </c>
      <c r="I338" s="10" t="str">
        <f>CONCATENATE(Connectors[[#This Row],[TOINSTANCE]],"::",Connectors[[#This Row],[TOFIELD]],"::",Connectors[[#This Row],[TOINSTANCETYPE]])</f>
        <v>FLTR_insert::invoice_gl_date::Filter</v>
      </c>
    </row>
    <row r="339" spans="1:9" x14ac:dyDescent="0.25">
      <c r="A339" s="25" t="str">
        <f xml:space="preserve"> MapNameLkup</f>
        <v>m_ofs_trex_ar_invoices</v>
      </c>
      <c r="B339" s="1" t="s">
        <v>857</v>
      </c>
      <c r="C339" s="1" t="s">
        <v>873</v>
      </c>
      <c r="D339" s="1" t="s">
        <v>6</v>
      </c>
      <c r="E339" s="1" t="s">
        <v>861</v>
      </c>
      <c r="F339" s="1" t="s">
        <v>873</v>
      </c>
      <c r="G339" s="1" t="s">
        <v>863</v>
      </c>
      <c r="H339" s="10" t="str">
        <f>CONCATENATE(Connectors[[#This Row],[FROMINSTANCE]],"::",Connectors[[#This Row],[FROMFIELD]],"::",Connectors[[#This Row],[FROMINSTANCETYPE]])</f>
        <v>EXP_ins_upd::o_acctd_amount::Expression</v>
      </c>
      <c r="I339" s="10" t="str">
        <f>CONCATENATE(Connectors[[#This Row],[TOINSTANCE]],"::",Connectors[[#This Row],[TOFIELD]],"::",Connectors[[#This Row],[TOINSTANCETYPE]])</f>
        <v>FLTR_insert::o_acctd_amount::Filter</v>
      </c>
    </row>
    <row r="340" spans="1:9" x14ac:dyDescent="0.25">
      <c r="A340" s="25" t="str">
        <f xml:space="preserve"> MapNameLkup</f>
        <v>m_ofs_trex_ar_invoices</v>
      </c>
      <c r="B340" s="1" t="s">
        <v>857</v>
      </c>
      <c r="C340" s="1" t="s">
        <v>866</v>
      </c>
      <c r="D340" s="1" t="s">
        <v>6</v>
      </c>
      <c r="E340" s="1" t="s">
        <v>861</v>
      </c>
      <c r="F340" s="1" t="s">
        <v>866</v>
      </c>
      <c r="G340" s="1" t="s">
        <v>863</v>
      </c>
      <c r="H340" s="10" t="str">
        <f>CONCATENATE(Connectors[[#This Row],[FROMINSTANCE]],"::",Connectors[[#This Row],[FROMFIELD]],"::",Connectors[[#This Row],[FROMINSTANCETYPE]])</f>
        <v>EXP_ins_upd::session_start_time::Expression</v>
      </c>
      <c r="I340" s="10" t="str">
        <f>CONCATENATE(Connectors[[#This Row],[TOINSTANCE]],"::",Connectors[[#This Row],[TOFIELD]],"::",Connectors[[#This Row],[TOINSTANCETYPE]])</f>
        <v>FLTR_insert::session_start_time::Filter</v>
      </c>
    </row>
    <row r="341" spans="1:9" x14ac:dyDescent="0.25">
      <c r="A341" s="25" t="str">
        <f xml:space="preserve"> MapNameLkup</f>
        <v>m_ofs_trex_ar_invoices</v>
      </c>
      <c r="B341" s="1" t="s">
        <v>857</v>
      </c>
      <c r="C341" s="1" t="s">
        <v>880</v>
      </c>
      <c r="D341" s="1" t="s">
        <v>6</v>
      </c>
      <c r="E341" s="1" t="s">
        <v>861</v>
      </c>
      <c r="F341" s="1" t="s">
        <v>880</v>
      </c>
      <c r="G341" s="1" t="s">
        <v>863</v>
      </c>
      <c r="H341" s="10" t="str">
        <f>CONCATENATE(Connectors[[#This Row],[FROMINSTANCE]],"::",Connectors[[#This Row],[FROMFIELD]],"::",Connectors[[#This Row],[FROMINSTANCETYPE]])</f>
        <v>EXP_ins_upd::user_cd::Expression</v>
      </c>
      <c r="I341" s="10" t="str">
        <f>CONCATENATE(Connectors[[#This Row],[TOINSTANCE]],"::",Connectors[[#This Row],[TOFIELD]],"::",Connectors[[#This Row],[TOINSTANCETYPE]])</f>
        <v>FLTR_insert::user_cd::Filter</v>
      </c>
    </row>
    <row r="342" spans="1:9" x14ac:dyDescent="0.25">
      <c r="A342" s="25" t="str">
        <f xml:space="preserve"> MapNameLkup</f>
        <v>m_ofs_trex_ar_invoices</v>
      </c>
      <c r="B342" s="1" t="s">
        <v>857</v>
      </c>
      <c r="C342" s="1" t="s">
        <v>881</v>
      </c>
      <c r="D342" s="1" t="s">
        <v>6</v>
      </c>
      <c r="E342" s="1" t="s">
        <v>861</v>
      </c>
      <c r="F342" s="1" t="s">
        <v>881</v>
      </c>
      <c r="G342" s="1" t="s">
        <v>863</v>
      </c>
      <c r="H342" s="10" t="str">
        <f>CONCATENATE(Connectors[[#This Row],[FROMINSTANCE]],"::",Connectors[[#This Row],[FROMFIELD]],"::",Connectors[[#This Row],[FROMINSTANCETYPE]])</f>
        <v>EXP_ins_upd::o_insert_or_update::Expression</v>
      </c>
      <c r="I342" s="10" t="str">
        <f>CONCATENATE(Connectors[[#This Row],[TOINSTANCE]],"::",Connectors[[#This Row],[TOFIELD]],"::",Connectors[[#This Row],[TOINSTANCETYPE]])</f>
        <v>FLTR_insert::o_insert_or_update::Filter</v>
      </c>
    </row>
    <row r="343" spans="1:9" x14ac:dyDescent="0.25">
      <c r="A343" s="25" t="str">
        <f xml:space="preserve"> MapNameLkup</f>
        <v>m_ofs_trex_ar_invoices</v>
      </c>
      <c r="B343" s="1" t="s">
        <v>857</v>
      </c>
      <c r="C343" s="1" t="s">
        <v>113</v>
      </c>
      <c r="D343" s="1" t="s">
        <v>6</v>
      </c>
      <c r="E343" s="1" t="s">
        <v>861</v>
      </c>
      <c r="F343" s="1" t="s">
        <v>113</v>
      </c>
      <c r="G343" s="1" t="s">
        <v>863</v>
      </c>
      <c r="H343" s="10" t="str">
        <f>CONCATENATE(Connectors[[#This Row],[FROMINSTANCE]],"::",Connectors[[#This Row],[FROMFIELD]],"::",Connectors[[#This Row],[FROMINSTANCETYPE]])</f>
        <v>EXP_ins_upd::etl_trans_id::Expression</v>
      </c>
      <c r="I343" s="10" t="str">
        <f>CONCATENATE(Connectors[[#This Row],[TOINSTANCE]],"::",Connectors[[#This Row],[TOFIELD]],"::",Connectors[[#This Row],[TOINSTANCETYPE]])</f>
        <v>FLTR_insert::etl_trans_id::Filter</v>
      </c>
    </row>
    <row r="344" spans="1:9" x14ac:dyDescent="0.25">
      <c r="A344" s="25" t="str">
        <f xml:space="preserve"> MapNameLkup</f>
        <v>m_ofs_trex_ar_invoices</v>
      </c>
      <c r="B344" s="1" t="s">
        <v>857</v>
      </c>
      <c r="C344" s="1" t="s">
        <v>874</v>
      </c>
      <c r="D344" s="1" t="s">
        <v>6</v>
      </c>
      <c r="E344" s="1" t="s">
        <v>861</v>
      </c>
      <c r="F344" s="1" t="s">
        <v>874</v>
      </c>
      <c r="G344" s="1" t="s">
        <v>863</v>
      </c>
      <c r="H344" s="10" t="str">
        <f>CONCATENATE(Connectors[[#This Row],[FROMINSTANCE]],"::",Connectors[[#This Row],[FROMFIELD]],"::",Connectors[[#This Row],[FROMINSTANCETYPE]])</f>
        <v>EXP_ins_upd::o_amount::Expression</v>
      </c>
      <c r="I344" s="10" t="str">
        <f>CONCATENATE(Connectors[[#This Row],[TOINSTANCE]],"::",Connectors[[#This Row],[TOFIELD]],"::",Connectors[[#This Row],[TOINSTANCETYPE]])</f>
        <v>FLTR_insert::o_amount::Filter</v>
      </c>
    </row>
    <row r="345" spans="1:9" x14ac:dyDescent="0.25">
      <c r="A345" s="25" t="str">
        <f xml:space="preserve"> MapNameLkup</f>
        <v>m_ofs_trex_ar_invoices</v>
      </c>
      <c r="B345" s="1" t="s">
        <v>857</v>
      </c>
      <c r="C345" s="1" t="s">
        <v>875</v>
      </c>
      <c r="D345" s="1" t="s">
        <v>6</v>
      </c>
      <c r="E345" s="1" t="s">
        <v>861</v>
      </c>
      <c r="F345" s="1" t="s">
        <v>875</v>
      </c>
      <c r="G345" s="1" t="s">
        <v>863</v>
      </c>
      <c r="H345" s="10" t="str">
        <f>CONCATENATE(Connectors[[#This Row],[FROMINSTANCE]],"::",Connectors[[#This Row],[FROMFIELD]],"::",Connectors[[#This Row],[FROMINSTANCETYPE]])</f>
        <v>EXP_ins_upd::o_acctd_amount_applied_to::Expression</v>
      </c>
      <c r="I345" s="10" t="str">
        <f>CONCATENATE(Connectors[[#This Row],[TOINSTANCE]],"::",Connectors[[#This Row],[TOFIELD]],"::",Connectors[[#This Row],[TOINSTANCETYPE]])</f>
        <v>FLTR_insert::o_acctd_amount_applied_to::Filter</v>
      </c>
    </row>
    <row r="346" spans="1:9" x14ac:dyDescent="0.25">
      <c r="A346" s="25" t="str">
        <f xml:space="preserve"> MapNameLkup</f>
        <v>m_ofs_trex_ar_invoices</v>
      </c>
      <c r="B346" s="1" t="s">
        <v>857</v>
      </c>
      <c r="C346" s="1" t="s">
        <v>877</v>
      </c>
      <c r="D346" s="1" t="s">
        <v>6</v>
      </c>
      <c r="E346" s="1" t="s">
        <v>861</v>
      </c>
      <c r="F346" s="1" t="s">
        <v>877</v>
      </c>
      <c r="G346" s="1" t="s">
        <v>863</v>
      </c>
      <c r="H346" s="10" t="str">
        <f>CONCATENATE(Connectors[[#This Row],[FROMINSTANCE]],"::",Connectors[[#This Row],[FROMFIELD]],"::",Connectors[[#This Row],[FROMINSTANCETYPE]])</f>
        <v>EXP_ins_upd::o_acctd_amount_due_remaining::Expression</v>
      </c>
      <c r="I346" s="10" t="str">
        <f>CONCATENATE(Connectors[[#This Row],[TOINSTANCE]],"::",Connectors[[#This Row],[TOFIELD]],"::",Connectors[[#This Row],[TOINSTANCETYPE]])</f>
        <v>FLTR_insert::o_acctd_amount_due_remaining::Filter</v>
      </c>
    </row>
    <row r="347" spans="1:9" x14ac:dyDescent="0.25">
      <c r="A347" s="25" t="str">
        <f xml:space="preserve"> MapNameLkup</f>
        <v>m_ofs_trex_ar_invoices</v>
      </c>
      <c r="B347" s="1" t="s">
        <v>857</v>
      </c>
      <c r="C347" s="1" t="s">
        <v>129</v>
      </c>
      <c r="D347" s="1" t="s">
        <v>6</v>
      </c>
      <c r="E347" s="1" t="s">
        <v>861</v>
      </c>
      <c r="F347" s="1" t="s">
        <v>129</v>
      </c>
      <c r="G347" s="1" t="s">
        <v>863</v>
      </c>
      <c r="H347" s="10" t="str">
        <f>CONCATENATE(Connectors[[#This Row],[FROMINSTANCE]],"::",Connectors[[#This Row],[FROMFIELD]],"::",Connectors[[#This Row],[FROMINSTANCETYPE]])</f>
        <v>EXP_ins_upd::offset_nat_acct_no::Expression</v>
      </c>
      <c r="I347" s="10" t="str">
        <f>CONCATENATE(Connectors[[#This Row],[TOINSTANCE]],"::",Connectors[[#This Row],[TOFIELD]],"::",Connectors[[#This Row],[TOINSTANCETYPE]])</f>
        <v>FLTR_insert::offset_nat_acct_no::Filter</v>
      </c>
    </row>
    <row r="348" spans="1:9" x14ac:dyDescent="0.25">
      <c r="A348" s="25" t="str">
        <f xml:space="preserve"> MapNameLkup</f>
        <v>m_ofs_trex_ar_invoices</v>
      </c>
      <c r="B348" s="1" t="s">
        <v>857</v>
      </c>
      <c r="C348" s="1" t="s">
        <v>114</v>
      </c>
      <c r="D348" s="1" t="s">
        <v>6</v>
      </c>
      <c r="E348" s="1" t="s">
        <v>861</v>
      </c>
      <c r="F348" s="1" t="s">
        <v>114</v>
      </c>
      <c r="G348" s="1" t="s">
        <v>863</v>
      </c>
      <c r="H348" s="10" t="str">
        <f>CONCATENATE(Connectors[[#This Row],[FROMINSTANCE]],"::",Connectors[[#This Row],[FROMFIELD]],"::",Connectors[[#This Row],[FROMINSTANCETYPE]])</f>
        <v>EXP_ins_upd::extn_sys_cd::Expression</v>
      </c>
      <c r="I348" s="10" t="str">
        <f>CONCATENATE(Connectors[[#This Row],[TOINSTANCE]],"::",Connectors[[#This Row],[TOFIELD]],"::",Connectors[[#This Row],[TOINSTANCETYPE]])</f>
        <v>FLTR_insert::extn_sys_cd::Filter</v>
      </c>
    </row>
    <row r="349" spans="1:9" x14ac:dyDescent="0.25">
      <c r="A349" s="25" t="str">
        <f xml:space="preserve"> MapNameLkup</f>
        <v>m_ofs_trex_ar_invoices</v>
      </c>
      <c r="B349" s="1" t="s">
        <v>857</v>
      </c>
      <c r="C349" s="1" t="s">
        <v>115</v>
      </c>
      <c r="D349" s="1" t="s">
        <v>6</v>
      </c>
      <c r="E349" s="1" t="s">
        <v>861</v>
      </c>
      <c r="F349" s="1" t="s">
        <v>115</v>
      </c>
      <c r="G349" s="1" t="s">
        <v>863</v>
      </c>
      <c r="H349" s="10" t="str">
        <f>CONCATENATE(Connectors[[#This Row],[FROMINSTANCE]],"::",Connectors[[#This Row],[FROMFIELD]],"::",Connectors[[#This Row],[FROMINSTANCETYPE]])</f>
        <v>EXP_ins_upd::batch_id::Expression</v>
      </c>
      <c r="I349" s="10" t="str">
        <f>CONCATENATE(Connectors[[#This Row],[TOINSTANCE]],"::",Connectors[[#This Row],[TOFIELD]],"::",Connectors[[#This Row],[TOINSTANCETYPE]])</f>
        <v>FLTR_insert::batch_id::Filter</v>
      </c>
    </row>
    <row r="350" spans="1:9" x14ac:dyDescent="0.25">
      <c r="A350" s="25" t="str">
        <f xml:space="preserve"> MapNameLkup</f>
        <v>m_ofs_trex_ar_invoices</v>
      </c>
      <c r="B350" s="1" t="s">
        <v>857</v>
      </c>
      <c r="C350" s="1" t="s">
        <v>876</v>
      </c>
      <c r="D350" s="1" t="s">
        <v>6</v>
      </c>
      <c r="E350" s="1" t="s">
        <v>861</v>
      </c>
      <c r="F350" s="1" t="s">
        <v>876</v>
      </c>
      <c r="G350" s="1" t="s">
        <v>863</v>
      </c>
      <c r="H350" s="10" t="str">
        <f>CONCATENATE(Connectors[[#This Row],[FROMINSTANCE]],"::",Connectors[[#This Row],[FROMFIELD]],"::",Connectors[[#This Row],[FROMINSTANCETYPE]])</f>
        <v>EXP_ins_upd::o_amount_applied::Expression</v>
      </c>
      <c r="I350" s="10" t="str">
        <f>CONCATENATE(Connectors[[#This Row],[TOINSTANCE]],"::",Connectors[[#This Row],[TOFIELD]],"::",Connectors[[#This Row],[TOINSTANCETYPE]])</f>
        <v>FLTR_insert::o_amount_applied::Filter</v>
      </c>
    </row>
    <row r="351" spans="1:9" x14ac:dyDescent="0.25">
      <c r="A351" s="25" t="str">
        <f xml:space="preserve"> MapNameLkup</f>
        <v>m_ofs_trex_ar_invoices</v>
      </c>
      <c r="B351" s="1" t="s">
        <v>859</v>
      </c>
      <c r="C351" s="1" t="s">
        <v>139</v>
      </c>
      <c r="D351" s="1" t="s">
        <v>6</v>
      </c>
      <c r="E351" s="1" t="s">
        <v>857</v>
      </c>
      <c r="F351" s="1" t="s">
        <v>139</v>
      </c>
      <c r="G351" s="1" t="s">
        <v>6</v>
      </c>
      <c r="H351" s="10" t="str">
        <f>CONCATENATE(Connectors[[#This Row],[FROMINSTANCE]],"::",Connectors[[#This Row],[FROMFIELD]],"::",Connectors[[#This Row],[FROMINSTANCETYPE]])</f>
        <v>EXP_ofs_ar_invoices::receipt_method::Expression</v>
      </c>
      <c r="I351" s="10" t="str">
        <f>CONCATENATE(Connectors[[#This Row],[TOINSTANCE]],"::",Connectors[[#This Row],[TOFIELD]],"::",Connectors[[#This Row],[TOINSTANCETYPE]])</f>
        <v>EXP_ins_upd::receipt_method::Expression</v>
      </c>
    </row>
    <row r="352" spans="1:9" x14ac:dyDescent="0.25">
      <c r="A352" s="25" t="str">
        <f xml:space="preserve"> MapNameLkup</f>
        <v>m_ofs_trex_ar_invoices</v>
      </c>
      <c r="B352" s="1" t="s">
        <v>859</v>
      </c>
      <c r="C352" s="1" t="s">
        <v>874</v>
      </c>
      <c r="D352" s="1" t="s">
        <v>6</v>
      </c>
      <c r="E352" s="1" t="s">
        <v>857</v>
      </c>
      <c r="F352" s="1" t="s">
        <v>874</v>
      </c>
      <c r="G352" s="1" t="s">
        <v>6</v>
      </c>
      <c r="H352" s="10" t="str">
        <f>CONCATENATE(Connectors[[#This Row],[FROMINSTANCE]],"::",Connectors[[#This Row],[FROMFIELD]],"::",Connectors[[#This Row],[FROMINSTANCETYPE]])</f>
        <v>EXP_ofs_ar_invoices::o_amount::Expression</v>
      </c>
      <c r="I352" s="10" t="str">
        <f>CONCATENATE(Connectors[[#This Row],[TOINSTANCE]],"::",Connectors[[#This Row],[TOFIELD]],"::",Connectors[[#This Row],[TOINSTANCETYPE]])</f>
        <v>EXP_ins_upd::o_amount::Expression</v>
      </c>
    </row>
    <row r="353" spans="1:9" x14ac:dyDescent="0.25">
      <c r="A353" s="25" t="str">
        <f xml:space="preserve"> MapNameLkup</f>
        <v>m_ofs_trex_ar_invoices</v>
      </c>
      <c r="B353" s="1" t="s">
        <v>859</v>
      </c>
      <c r="C353" s="1" t="s">
        <v>875</v>
      </c>
      <c r="D353" s="1" t="s">
        <v>6</v>
      </c>
      <c r="E353" s="1" t="s">
        <v>857</v>
      </c>
      <c r="F353" s="1" t="s">
        <v>875</v>
      </c>
      <c r="G353" s="1" t="s">
        <v>6</v>
      </c>
      <c r="H353" s="10" t="str">
        <f>CONCATENATE(Connectors[[#This Row],[FROMINSTANCE]],"::",Connectors[[#This Row],[FROMFIELD]],"::",Connectors[[#This Row],[FROMINSTANCETYPE]])</f>
        <v>EXP_ofs_ar_invoices::o_acctd_amount_applied_to::Expression</v>
      </c>
      <c r="I353" s="10" t="str">
        <f>CONCATENATE(Connectors[[#This Row],[TOINSTANCE]],"::",Connectors[[#This Row],[TOFIELD]],"::",Connectors[[#This Row],[TOINSTANCETYPE]])</f>
        <v>EXP_ins_upd::o_acctd_amount_applied_to::Expression</v>
      </c>
    </row>
    <row r="354" spans="1:9" x14ac:dyDescent="0.25">
      <c r="A354" s="25" t="str">
        <f xml:space="preserve"> MapNameLkup</f>
        <v>m_ofs_trex_ar_invoices</v>
      </c>
      <c r="B354" s="1" t="s">
        <v>857</v>
      </c>
      <c r="C354" s="1" t="s">
        <v>116</v>
      </c>
      <c r="D354" s="1" t="s">
        <v>6</v>
      </c>
      <c r="E354" s="1" t="s">
        <v>861</v>
      </c>
      <c r="F354" s="1" t="s">
        <v>116</v>
      </c>
      <c r="G354" s="1" t="s">
        <v>863</v>
      </c>
      <c r="H354" s="10" t="str">
        <f>CONCATENATE(Connectors[[#This Row],[FROMINSTANCE]],"::",Connectors[[#This Row],[FROMFIELD]],"::",Connectors[[#This Row],[FROMINSTANCETYPE]])</f>
        <v>EXP_ins_upd::batch_name::Expression</v>
      </c>
      <c r="I354" s="10" t="str">
        <f>CONCATENATE(Connectors[[#This Row],[TOINSTANCE]],"::",Connectors[[#This Row],[TOFIELD]],"::",Connectors[[#This Row],[TOINSTANCETYPE]])</f>
        <v>FLTR_insert::batch_name::Filter</v>
      </c>
    </row>
    <row r="355" spans="1:9" x14ac:dyDescent="0.25">
      <c r="A355" s="25" t="str">
        <f xml:space="preserve"> MapNameLkup</f>
        <v>m_ofs_trex_ar_invoices</v>
      </c>
      <c r="B355" s="1" t="s">
        <v>857</v>
      </c>
      <c r="C355" s="1" t="s">
        <v>870</v>
      </c>
      <c r="D355" s="1" t="s">
        <v>6</v>
      </c>
      <c r="E355" s="1" t="s">
        <v>861</v>
      </c>
      <c r="F355" s="1" t="s">
        <v>870</v>
      </c>
      <c r="G355" s="1" t="s">
        <v>863</v>
      </c>
      <c r="H355" s="10" t="str">
        <f>CONCATENATE(Connectors[[#This Row],[FROMINSTANCE]],"::",Connectors[[#This Row],[FROMFIELD]],"::",Connectors[[#This Row],[FROMINSTANCETYPE]])</f>
        <v>EXP_ins_upd::o_org_id::Expression</v>
      </c>
      <c r="I355" s="10" t="str">
        <f>CONCATENATE(Connectors[[#This Row],[TOINSTANCE]],"::",Connectors[[#This Row],[TOFIELD]],"::",Connectors[[#This Row],[TOINSTANCETYPE]])</f>
        <v>FLTR_insert::o_org_id::Filter</v>
      </c>
    </row>
    <row r="356" spans="1:9" x14ac:dyDescent="0.25">
      <c r="A356" s="25" t="str">
        <f xml:space="preserve"> MapNameLkup</f>
        <v>m_ofs_trex_ar_invoices</v>
      </c>
      <c r="B356" s="1" t="s">
        <v>857</v>
      </c>
      <c r="C356" s="1" t="s">
        <v>871</v>
      </c>
      <c r="D356" s="1" t="s">
        <v>6</v>
      </c>
      <c r="E356" s="1" t="s">
        <v>861</v>
      </c>
      <c r="F356" s="1" t="s">
        <v>871</v>
      </c>
      <c r="G356" s="1" t="s">
        <v>863</v>
      </c>
      <c r="H356" s="10" t="str">
        <f>CONCATENATE(Connectors[[#This Row],[FROMINSTANCE]],"::",Connectors[[#This Row],[FROMFIELD]],"::",Connectors[[#This Row],[FROMINSTANCETYPE]])</f>
        <v>EXP_ins_upd::o_batch_source_id::Expression</v>
      </c>
      <c r="I356" s="10" t="str">
        <f>CONCATENATE(Connectors[[#This Row],[TOINSTANCE]],"::",Connectors[[#This Row],[TOFIELD]],"::",Connectors[[#This Row],[TOINSTANCETYPE]])</f>
        <v>FLTR_insert::o_batch_source_id::Filter</v>
      </c>
    </row>
    <row r="357" spans="1:9" x14ac:dyDescent="0.25">
      <c r="A357" s="25" t="str">
        <f xml:space="preserve"> MapNameLkup</f>
        <v>m_ofs_trex_ar_invoices</v>
      </c>
      <c r="B357" s="1" t="s">
        <v>857</v>
      </c>
      <c r="C357" s="1" t="s">
        <v>119</v>
      </c>
      <c r="D357" s="1" t="s">
        <v>6</v>
      </c>
      <c r="E357" s="1" t="s">
        <v>861</v>
      </c>
      <c r="F357" s="1" t="s">
        <v>119</v>
      </c>
      <c r="G357" s="1" t="s">
        <v>863</v>
      </c>
      <c r="H357" s="10" t="str">
        <f>CONCATENATE(Connectors[[#This Row],[FROMINSTANCE]],"::",Connectors[[#This Row],[FROMFIELD]],"::",Connectors[[#This Row],[FROMINSTANCETYPE]])</f>
        <v>EXP_ins_upd::company::Expression</v>
      </c>
      <c r="I357" s="10" t="str">
        <f>CONCATENATE(Connectors[[#This Row],[TOINSTANCE]],"::",Connectors[[#This Row],[TOFIELD]],"::",Connectors[[#This Row],[TOINSTANCETYPE]])</f>
        <v>FLTR_insert::company::Filter</v>
      </c>
    </row>
    <row r="358" spans="1:9" x14ac:dyDescent="0.25">
      <c r="A358" s="25" t="str">
        <f xml:space="preserve"> MapNameLkup</f>
        <v>m_ofs_trex_ar_invoices</v>
      </c>
      <c r="B358" s="1" t="s">
        <v>857</v>
      </c>
      <c r="C358" s="1" t="s">
        <v>120</v>
      </c>
      <c r="D358" s="1" t="s">
        <v>6</v>
      </c>
      <c r="E358" s="1" t="s">
        <v>861</v>
      </c>
      <c r="F358" s="1" t="s">
        <v>120</v>
      </c>
      <c r="G358" s="1" t="s">
        <v>863</v>
      </c>
      <c r="H358" s="10" t="str">
        <f>CONCATENATE(Connectors[[#This Row],[FROMINSTANCE]],"::",Connectors[[#This Row],[FROMFIELD]],"::",Connectors[[#This Row],[FROMINSTANCETYPE]])</f>
        <v>EXP_ins_upd::company_description::Expression</v>
      </c>
      <c r="I358" s="10" t="str">
        <f>CONCATENATE(Connectors[[#This Row],[TOINSTANCE]],"::",Connectors[[#This Row],[TOFIELD]],"::",Connectors[[#This Row],[TOINSTANCETYPE]])</f>
        <v>FLTR_insert::company_description::Filter</v>
      </c>
    </row>
    <row r="359" spans="1:9" x14ac:dyDescent="0.25">
      <c r="A359" s="25" t="str">
        <f xml:space="preserve"> MapNameLkup</f>
        <v>m_ofs_trex_ar_invoices</v>
      </c>
      <c r="B359" s="1" t="s">
        <v>857</v>
      </c>
      <c r="C359" s="1" t="s">
        <v>137</v>
      </c>
      <c r="D359" s="1" t="s">
        <v>6</v>
      </c>
      <c r="E359" s="1" t="s">
        <v>861</v>
      </c>
      <c r="F359" s="1" t="s">
        <v>137</v>
      </c>
      <c r="G359" s="1" t="s">
        <v>863</v>
      </c>
      <c r="H359" s="10" t="str">
        <f>CONCATENATE(Connectors[[#This Row],[FROMINSTANCE]],"::",Connectors[[#This Row],[FROMFIELD]],"::",Connectors[[#This Row],[FROMINSTANCETYPE]])</f>
        <v>EXP_ins_upd::currency_code::Expression</v>
      </c>
      <c r="I359" s="10" t="str">
        <f>CONCATENATE(Connectors[[#This Row],[TOINSTANCE]],"::",Connectors[[#This Row],[TOFIELD]],"::",Connectors[[#This Row],[TOINSTANCETYPE]])</f>
        <v>FLTR_insert::currency_code::Filter</v>
      </c>
    </row>
    <row r="360" spans="1:9" x14ac:dyDescent="0.25">
      <c r="A360" s="25" t="str">
        <f xml:space="preserve"> MapNameLkup</f>
        <v>m_ofs_trex_ar_invoices</v>
      </c>
      <c r="B360" s="1" t="s">
        <v>861</v>
      </c>
      <c r="C360" s="1" t="s">
        <v>876</v>
      </c>
      <c r="D360" s="1" t="s">
        <v>863</v>
      </c>
      <c r="E360" s="1" t="s">
        <v>860</v>
      </c>
      <c r="F360" s="1" t="s">
        <v>876</v>
      </c>
      <c r="G360" s="1" t="s">
        <v>66</v>
      </c>
      <c r="H360" s="10" t="str">
        <f>CONCATENATE(Connectors[[#This Row],[FROMINSTANCE]],"::",Connectors[[#This Row],[FROMFIELD]],"::",Connectors[[#This Row],[FROMINSTANCETYPE]])</f>
        <v>FLTR_insert::o_amount_applied::Filter</v>
      </c>
      <c r="I360" s="10" t="str">
        <f>CONCATENATE(Connectors[[#This Row],[TOINSTANCE]],"::",Connectors[[#This Row],[TOFIELD]],"::",Connectors[[#This Row],[TOINSTANCETYPE]])</f>
        <v>UPD_ofs_ar_invoices_insert::o_amount_applied::Update Strategy</v>
      </c>
    </row>
    <row r="361" spans="1:9" x14ac:dyDescent="0.25">
      <c r="A361" s="25" t="str">
        <f xml:space="preserve"> MapNameLkup</f>
        <v>m_ofs_trex_ar_invoices</v>
      </c>
      <c r="B361" s="1" t="s">
        <v>861</v>
      </c>
      <c r="C361" s="1" t="s">
        <v>877</v>
      </c>
      <c r="D361" s="1" t="s">
        <v>863</v>
      </c>
      <c r="E361" s="1" t="s">
        <v>860</v>
      </c>
      <c r="F361" s="1" t="s">
        <v>877</v>
      </c>
      <c r="G361" s="1" t="s">
        <v>66</v>
      </c>
      <c r="H361" s="10" t="str">
        <f>CONCATENATE(Connectors[[#This Row],[FROMINSTANCE]],"::",Connectors[[#This Row],[FROMFIELD]],"::",Connectors[[#This Row],[FROMINSTANCETYPE]])</f>
        <v>FLTR_insert::o_acctd_amount_due_remaining::Filter</v>
      </c>
      <c r="I361" s="10" t="str">
        <f>CONCATENATE(Connectors[[#This Row],[TOINSTANCE]],"::",Connectors[[#This Row],[TOFIELD]],"::",Connectors[[#This Row],[TOINSTANCETYPE]])</f>
        <v>UPD_ofs_ar_invoices_insert::o_acctd_amount_due_remaining::Update Strategy</v>
      </c>
    </row>
    <row r="362" spans="1:9" x14ac:dyDescent="0.25">
      <c r="A362" s="25" t="str">
        <f xml:space="preserve"> MapNameLkup</f>
        <v>m_ofs_trex_ar_invoices</v>
      </c>
      <c r="B362" s="1" t="s">
        <v>861</v>
      </c>
      <c r="C362" s="1" t="s">
        <v>878</v>
      </c>
      <c r="D362" s="1" t="s">
        <v>863</v>
      </c>
      <c r="E362" s="1" t="s">
        <v>860</v>
      </c>
      <c r="F362" s="1" t="s">
        <v>878</v>
      </c>
      <c r="G362" s="1" t="s">
        <v>66</v>
      </c>
      <c r="H362" s="10" t="str">
        <f>CONCATENATE(Connectors[[#This Row],[FROMINSTANCE]],"::",Connectors[[#This Row],[FROMFIELD]],"::",Connectors[[#This Row],[FROMINSTANCETYPE]])</f>
        <v>FLTR_insert::o_amount_due_remaining::Filter</v>
      </c>
      <c r="I362" s="10" t="str">
        <f>CONCATENATE(Connectors[[#This Row],[TOINSTANCE]],"::",Connectors[[#This Row],[TOFIELD]],"::",Connectors[[#This Row],[TOINSTANCETYPE]])</f>
        <v>UPD_ofs_ar_invoices_insert::o_amount_due_remaining::Update Strategy</v>
      </c>
    </row>
    <row r="363" spans="1:9" x14ac:dyDescent="0.25">
      <c r="A363" s="25" t="str">
        <f xml:space="preserve"> MapNameLkup</f>
        <v>m_ofs_trex_ar_invoices</v>
      </c>
      <c r="B363" s="1" t="s">
        <v>861</v>
      </c>
      <c r="C363" s="1" t="s">
        <v>137</v>
      </c>
      <c r="D363" s="1" t="s">
        <v>863</v>
      </c>
      <c r="E363" s="1" t="s">
        <v>860</v>
      </c>
      <c r="F363" s="1" t="s">
        <v>137</v>
      </c>
      <c r="G363" s="1" t="s">
        <v>66</v>
      </c>
      <c r="H363" s="10" t="str">
        <f>CONCATENATE(Connectors[[#This Row],[FROMINSTANCE]],"::",Connectors[[#This Row],[FROMFIELD]],"::",Connectors[[#This Row],[FROMINSTANCETYPE]])</f>
        <v>FLTR_insert::currency_code::Filter</v>
      </c>
      <c r="I363" s="10" t="str">
        <f>CONCATENATE(Connectors[[#This Row],[TOINSTANCE]],"::",Connectors[[#This Row],[TOFIELD]],"::",Connectors[[#This Row],[TOINSTANCETYPE]])</f>
        <v>UPD_ofs_ar_invoices_insert::currency_code::Update Strategy</v>
      </c>
    </row>
    <row r="364" spans="1:9" x14ac:dyDescent="0.25">
      <c r="A364" s="25" t="str">
        <f xml:space="preserve"> MapNameLkup</f>
        <v>m_ofs_trex_ar_invoices</v>
      </c>
      <c r="B364" s="1" t="s">
        <v>861</v>
      </c>
      <c r="C364" s="1" t="s">
        <v>138</v>
      </c>
      <c r="D364" s="1" t="s">
        <v>863</v>
      </c>
      <c r="E364" s="1" t="s">
        <v>860</v>
      </c>
      <c r="F364" s="1" t="s">
        <v>138</v>
      </c>
      <c r="G364" s="1" t="s">
        <v>66</v>
      </c>
      <c r="H364" s="10" t="str">
        <f>CONCATENATE(Connectors[[#This Row],[FROMINSTANCE]],"::",Connectors[[#This Row],[FROMFIELD]],"::",Connectors[[#This Row],[FROMINSTANCETYPE]])</f>
        <v>FLTR_insert::payment_terms::Filter</v>
      </c>
      <c r="I364" s="10" t="str">
        <f>CONCATENATE(Connectors[[#This Row],[TOINSTANCE]],"::",Connectors[[#This Row],[TOFIELD]],"::",Connectors[[#This Row],[TOINSTANCETYPE]])</f>
        <v>UPD_ofs_ar_invoices_insert::payment_terms::Update Strategy</v>
      </c>
    </row>
    <row r="365" spans="1:9" x14ac:dyDescent="0.25">
      <c r="A365" s="25" t="str">
        <f xml:space="preserve"> MapNameLkup</f>
        <v>m_ofs_trex_ar_invoices</v>
      </c>
      <c r="B365" s="1" t="s">
        <v>861</v>
      </c>
      <c r="C365" s="1" t="s">
        <v>139</v>
      </c>
      <c r="D365" s="1" t="s">
        <v>863</v>
      </c>
      <c r="E365" s="1" t="s">
        <v>860</v>
      </c>
      <c r="F365" s="1" t="s">
        <v>139</v>
      </c>
      <c r="G365" s="1" t="s">
        <v>66</v>
      </c>
      <c r="H365" s="10" t="str">
        <f>CONCATENATE(Connectors[[#This Row],[FROMINSTANCE]],"::",Connectors[[#This Row],[FROMFIELD]],"::",Connectors[[#This Row],[FROMINSTANCETYPE]])</f>
        <v>FLTR_insert::receipt_method::Filter</v>
      </c>
      <c r="I365" s="10" t="str">
        <f>CONCATENATE(Connectors[[#This Row],[TOINSTANCE]],"::",Connectors[[#This Row],[TOFIELD]],"::",Connectors[[#This Row],[TOINSTANCETYPE]])</f>
        <v>UPD_ofs_ar_invoices_insert::receipt_method::Update Strategy</v>
      </c>
    </row>
    <row r="366" spans="1:9" x14ac:dyDescent="0.25">
      <c r="A366" s="25" t="str">
        <f xml:space="preserve"> MapNameLkup</f>
        <v>m_ofs_trex_ar_invoices</v>
      </c>
      <c r="B366" s="1" t="s">
        <v>861</v>
      </c>
      <c r="C366" s="1" t="s">
        <v>140</v>
      </c>
      <c r="D366" s="1" t="s">
        <v>863</v>
      </c>
      <c r="E366" s="1" t="s">
        <v>860</v>
      </c>
      <c r="F366" s="1" t="s">
        <v>140</v>
      </c>
      <c r="G366" s="1" t="s">
        <v>66</v>
      </c>
      <c r="H366" s="10" t="str">
        <f>CONCATENATE(Connectors[[#This Row],[FROMINSTANCE]],"::",Connectors[[#This Row],[FROMFIELD]],"::",Connectors[[#This Row],[FROMINSTANCETYPE]])</f>
        <v>FLTR_insert::created_by::Filter</v>
      </c>
      <c r="I366" s="10" t="str">
        <f>CONCATENATE(Connectors[[#This Row],[TOINSTANCE]],"::",Connectors[[#This Row],[TOFIELD]],"::",Connectors[[#This Row],[TOINSTANCETYPE]])</f>
        <v>UPD_ofs_ar_invoices_insert::created_by::Update Strategy</v>
      </c>
    </row>
    <row r="367" spans="1:9" x14ac:dyDescent="0.25">
      <c r="A367" s="25" t="str">
        <f xml:space="preserve"> MapNameLkup</f>
        <v>m_ofs_trex_ar_invoices</v>
      </c>
      <c r="B367" s="1" t="s">
        <v>861</v>
      </c>
      <c r="C367" s="1" t="s">
        <v>141</v>
      </c>
      <c r="D367" s="1" t="s">
        <v>863</v>
      </c>
      <c r="E367" s="1" t="s">
        <v>860</v>
      </c>
      <c r="F367" s="1" t="s">
        <v>141</v>
      </c>
      <c r="G367" s="1" t="s">
        <v>66</v>
      </c>
      <c r="H367" s="10" t="str">
        <f>CONCATENATE(Connectors[[#This Row],[FROMINSTANCE]],"::",Connectors[[#This Row],[FROMFIELD]],"::",Connectors[[#This Row],[FROMINSTANCETYPE]])</f>
        <v>FLTR_insert::last_updated_by::Filter</v>
      </c>
      <c r="I367" s="10" t="str">
        <f>CONCATENATE(Connectors[[#This Row],[TOINSTANCE]],"::",Connectors[[#This Row],[TOFIELD]],"::",Connectors[[#This Row],[TOINSTANCETYPE]])</f>
        <v>UPD_ofs_ar_invoices_insert::last_updated_by::Update Strategy</v>
      </c>
    </row>
    <row r="368" spans="1:9" x14ac:dyDescent="0.25">
      <c r="A368" s="25" t="str">
        <f xml:space="preserve"> MapNameLkup</f>
        <v>m_ofs_trex_ar_invoices</v>
      </c>
      <c r="B368" s="1" t="s">
        <v>861</v>
      </c>
      <c r="C368" s="1" t="s">
        <v>142</v>
      </c>
      <c r="D368" s="1" t="s">
        <v>863</v>
      </c>
      <c r="E368" s="1" t="s">
        <v>860</v>
      </c>
      <c r="F368" s="1" t="s">
        <v>142</v>
      </c>
      <c r="G368" s="1" t="s">
        <v>66</v>
      </c>
      <c r="H368" s="10" t="str">
        <f>CONCATENATE(Connectors[[#This Row],[FROMINSTANCE]],"::",Connectors[[#This Row],[FROMFIELD]],"::",Connectors[[#This Row],[FROMINSTANCETYPE]])</f>
        <v>FLTR_insert::invoice_creation_date::Filter</v>
      </c>
      <c r="I368" s="10" t="str">
        <f>CONCATENATE(Connectors[[#This Row],[TOINSTANCE]],"::",Connectors[[#This Row],[TOFIELD]],"::",Connectors[[#This Row],[TOINSTANCETYPE]])</f>
        <v>UPD_ofs_ar_invoices_insert::invoice_creation_date::Update Strategy</v>
      </c>
    </row>
    <row r="369" spans="1:9" x14ac:dyDescent="0.25">
      <c r="A369" s="25" t="str">
        <f xml:space="preserve"> MapNameLkup</f>
        <v>m_ofs_trex_ar_invoices</v>
      </c>
      <c r="B369" s="1" t="s">
        <v>861</v>
      </c>
      <c r="C369" s="1" t="s">
        <v>143</v>
      </c>
      <c r="D369" s="1" t="s">
        <v>863</v>
      </c>
      <c r="E369" s="1" t="s">
        <v>860</v>
      </c>
      <c r="F369" s="1" t="s">
        <v>143</v>
      </c>
      <c r="G369" s="1" t="s">
        <v>66</v>
      </c>
      <c r="H369" s="10" t="str">
        <f>CONCATENATE(Connectors[[#This Row],[FROMINSTANCE]],"::",Connectors[[#This Row],[FROMFIELD]],"::",Connectors[[#This Row],[FROMINSTANCETYPE]])</f>
        <v>FLTR_insert::invoice_last_update_date::Filter</v>
      </c>
      <c r="I369" s="10" t="str">
        <f>CONCATENATE(Connectors[[#This Row],[TOINSTANCE]],"::",Connectors[[#This Row],[TOFIELD]],"::",Connectors[[#This Row],[TOINSTANCETYPE]])</f>
        <v>UPD_ofs_ar_invoices_insert::invoice_last_update_date::Update Strategy</v>
      </c>
    </row>
    <row r="370" spans="1:9" x14ac:dyDescent="0.25">
      <c r="A370" s="25" t="str">
        <f xml:space="preserve"> MapNameLkup</f>
        <v>m_ofs_trex_ar_invoices</v>
      </c>
      <c r="B370" s="1" t="s">
        <v>861</v>
      </c>
      <c r="C370" s="1" t="s">
        <v>144</v>
      </c>
      <c r="D370" s="1" t="s">
        <v>863</v>
      </c>
      <c r="E370" s="1" t="s">
        <v>860</v>
      </c>
      <c r="F370" s="1" t="s">
        <v>144</v>
      </c>
      <c r="G370" s="1" t="s">
        <v>66</v>
      </c>
      <c r="H370" s="10" t="str">
        <f>CONCATENATE(Connectors[[#This Row],[FROMINSTANCE]],"::",Connectors[[#This Row],[FROMFIELD]],"::",Connectors[[#This Row],[FROMINSTANCETYPE]])</f>
        <v>FLTR_insert::invoice_gl_posted_date::Filter</v>
      </c>
      <c r="I370" s="10" t="str">
        <f>CONCATENATE(Connectors[[#This Row],[TOINSTANCE]],"::",Connectors[[#This Row],[TOFIELD]],"::",Connectors[[#This Row],[TOINSTANCETYPE]])</f>
        <v>UPD_ofs_ar_invoices_insert::invoice_gl_posted_date::Update Strategy</v>
      </c>
    </row>
    <row r="371" spans="1:9" x14ac:dyDescent="0.25">
      <c r="A371" s="25" t="str">
        <f xml:space="preserve"> MapNameLkup</f>
        <v>m_ofs_trex_ar_invoices</v>
      </c>
      <c r="B371" s="1" t="s">
        <v>861</v>
      </c>
      <c r="C371" s="1" t="s">
        <v>145</v>
      </c>
      <c r="D371" s="1" t="s">
        <v>863</v>
      </c>
      <c r="E371" s="1" t="s">
        <v>860</v>
      </c>
      <c r="F371" s="1" t="s">
        <v>145</v>
      </c>
      <c r="G371" s="1" t="s">
        <v>66</v>
      </c>
      <c r="H371" s="10" t="str">
        <f>CONCATENATE(Connectors[[#This Row],[FROMINSTANCE]],"::",Connectors[[#This Row],[FROMFIELD]],"::",Connectors[[#This Row],[FROMINSTANCETYPE]])</f>
        <v>FLTR_insert::invoice_gl_date::Filter</v>
      </c>
      <c r="I371" s="10" t="str">
        <f>CONCATENATE(Connectors[[#This Row],[TOINSTANCE]],"::",Connectors[[#This Row],[TOFIELD]],"::",Connectors[[#This Row],[TOINSTANCETYPE]])</f>
        <v>UPD_ofs_ar_invoices_insert::invoice_gl_date::Update Strategy</v>
      </c>
    </row>
    <row r="372" spans="1:9" x14ac:dyDescent="0.25">
      <c r="A372" s="25" t="str">
        <f xml:space="preserve"> MapNameLkup</f>
        <v>m_ofs_trex_ar_invoices</v>
      </c>
      <c r="B372" s="1" t="s">
        <v>861</v>
      </c>
      <c r="C372" s="1" t="s">
        <v>146</v>
      </c>
      <c r="D372" s="1" t="s">
        <v>863</v>
      </c>
      <c r="E372" s="1" t="s">
        <v>860</v>
      </c>
      <c r="F372" s="1" t="s">
        <v>146</v>
      </c>
      <c r="G372" s="1" t="s">
        <v>66</v>
      </c>
      <c r="H372" s="10" t="str">
        <f>CONCATENATE(Connectors[[#This Row],[FROMINSTANCE]],"::",Connectors[[#This Row],[FROMFIELD]],"::",Connectors[[#This Row],[FROMINSTANCETYPE]])</f>
        <v>FLTR_insert::aud_dim_id::Filter</v>
      </c>
      <c r="I372" s="10" t="str">
        <f>CONCATENATE(Connectors[[#This Row],[TOINSTANCE]],"::",Connectors[[#This Row],[TOFIELD]],"::",Connectors[[#This Row],[TOINSTANCETYPE]])</f>
        <v>UPD_ofs_ar_invoices_insert::aud_dim_id::Update Strategy</v>
      </c>
    </row>
    <row r="373" spans="1:9" x14ac:dyDescent="0.25">
      <c r="A373" s="25" t="str">
        <f xml:space="preserve"> MapNameLkup</f>
        <v>m_ofs_trex_ar_invoices</v>
      </c>
      <c r="B373" s="1" t="s">
        <v>861</v>
      </c>
      <c r="C373" s="1" t="s">
        <v>147</v>
      </c>
      <c r="D373" s="1" t="s">
        <v>863</v>
      </c>
      <c r="E373" s="1" t="s">
        <v>860</v>
      </c>
      <c r="F373" s="1" t="s">
        <v>147</v>
      </c>
      <c r="G373" s="1" t="s">
        <v>66</v>
      </c>
      <c r="H373" s="10" t="str">
        <f>CONCATENATE(Connectors[[#This Row],[FROMINSTANCE]],"::",Connectors[[#This Row],[FROMFIELD]],"::",Connectors[[#This Row],[FROMINSTANCETYPE]])</f>
        <v>FLTR_insert::prcs_sts_cd::Filter</v>
      </c>
      <c r="I373" s="10" t="str">
        <f>CONCATENATE(Connectors[[#This Row],[TOINSTANCE]],"::",Connectors[[#This Row],[TOFIELD]],"::",Connectors[[#This Row],[TOINSTANCETYPE]])</f>
        <v>UPD_ofs_ar_invoices_insert::prcs_sts_cd::Update Strategy</v>
      </c>
    </row>
    <row r="374" spans="1:9" x14ac:dyDescent="0.25">
      <c r="A374" s="25" t="str">
        <f xml:space="preserve"> MapNameLkup</f>
        <v>m_ofs_trex_ar_invoices</v>
      </c>
      <c r="B374" s="1" t="s">
        <v>861</v>
      </c>
      <c r="C374" s="1" t="s">
        <v>879</v>
      </c>
      <c r="D374" s="1" t="s">
        <v>863</v>
      </c>
      <c r="E374" s="1" t="s">
        <v>860</v>
      </c>
      <c r="F374" s="1" t="s">
        <v>879</v>
      </c>
      <c r="G374" s="1" t="s">
        <v>66</v>
      </c>
      <c r="H374" s="10" t="str">
        <f>CONCATENATE(Connectors[[#This Row],[FROMINSTANCE]],"::",Connectors[[#This Row],[FROMFIELD]],"::",Connectors[[#This Row],[FROMINSTANCETYPE]])</f>
        <v>FLTR_insert::intf_sts_cd::Filter</v>
      </c>
      <c r="I374" s="10" t="str">
        <f>CONCATENATE(Connectors[[#This Row],[TOINSTANCE]],"::",Connectors[[#This Row],[TOFIELD]],"::",Connectors[[#This Row],[TOINSTANCETYPE]])</f>
        <v>UPD_ofs_ar_invoices_insert::intf_sts_cd::Update Strategy</v>
      </c>
    </row>
    <row r="375" spans="1:9" x14ac:dyDescent="0.25">
      <c r="A375" s="25" t="str">
        <f xml:space="preserve"> MapNameLkup</f>
        <v>m_ofs_trex_ar_invoices</v>
      </c>
      <c r="B375" s="1" t="s">
        <v>861</v>
      </c>
      <c r="C375" s="1" t="s">
        <v>880</v>
      </c>
      <c r="D375" s="1" t="s">
        <v>863</v>
      </c>
      <c r="E375" s="1" t="s">
        <v>860</v>
      </c>
      <c r="F375" s="1" t="s">
        <v>880</v>
      </c>
      <c r="G375" s="1" t="s">
        <v>66</v>
      </c>
      <c r="H375" s="10" t="str">
        <f>CONCATENATE(Connectors[[#This Row],[FROMINSTANCE]],"::",Connectors[[#This Row],[FROMFIELD]],"::",Connectors[[#This Row],[FROMINSTANCETYPE]])</f>
        <v>FLTR_insert::user_cd::Filter</v>
      </c>
      <c r="I375" s="10" t="str">
        <f>CONCATENATE(Connectors[[#This Row],[TOINSTANCE]],"::",Connectors[[#This Row],[TOFIELD]],"::",Connectors[[#This Row],[TOINSTANCETYPE]])</f>
        <v>UPD_ofs_ar_invoices_insert::user_cd::Update Strategy</v>
      </c>
    </row>
    <row r="376" spans="1:9" x14ac:dyDescent="0.25">
      <c r="A376" s="25" t="str">
        <f xml:space="preserve"> MapNameLkup</f>
        <v>m_ofs_trex_ar_invoices</v>
      </c>
      <c r="B376" s="1" t="s">
        <v>861</v>
      </c>
      <c r="C376" s="1" t="s">
        <v>866</v>
      </c>
      <c r="D376" s="1" t="s">
        <v>863</v>
      </c>
      <c r="E376" s="1" t="s">
        <v>860</v>
      </c>
      <c r="F376" s="1" t="s">
        <v>866</v>
      </c>
      <c r="G376" s="1" t="s">
        <v>66</v>
      </c>
      <c r="H376" s="10" t="str">
        <f>CONCATENATE(Connectors[[#This Row],[FROMINSTANCE]],"::",Connectors[[#This Row],[FROMFIELD]],"::",Connectors[[#This Row],[FROMINSTANCETYPE]])</f>
        <v>FLTR_insert::session_start_time::Filter</v>
      </c>
      <c r="I376" s="10" t="str">
        <f>CONCATENATE(Connectors[[#This Row],[TOINSTANCE]],"::",Connectors[[#This Row],[TOFIELD]],"::",Connectors[[#This Row],[TOINSTANCETYPE]])</f>
        <v>UPD_ofs_ar_invoices_insert::session_start_time::Update Strategy</v>
      </c>
    </row>
    <row r="377" spans="1:9" x14ac:dyDescent="0.25">
      <c r="A377" s="25" t="str">
        <f xml:space="preserve"> MapNameLkup</f>
        <v>m_ofs_trex_ar_invoices</v>
      </c>
      <c r="B377" s="1" t="s">
        <v>861</v>
      </c>
      <c r="C377" s="1" t="s">
        <v>124</v>
      </c>
      <c r="D377" s="1" t="s">
        <v>863</v>
      </c>
      <c r="E377" s="1" t="s">
        <v>860</v>
      </c>
      <c r="F377" s="1" t="s">
        <v>124</v>
      </c>
      <c r="G377" s="1" t="s">
        <v>66</v>
      </c>
      <c r="H377" s="10" t="str">
        <f>CONCATENATE(Connectors[[#This Row],[FROMINSTANCE]],"::",Connectors[[#This Row],[FROMFIELD]],"::",Connectors[[#This Row],[FROMINSTANCETYPE]])</f>
        <v>FLTR_insert::invoice_number::Filter</v>
      </c>
      <c r="I377" s="10" t="str">
        <f>CONCATENATE(Connectors[[#This Row],[TOINSTANCE]],"::",Connectors[[#This Row],[TOFIELD]],"::",Connectors[[#This Row],[TOINSTANCETYPE]])</f>
        <v>UPD_ofs_ar_invoices_insert::invoice_number::Update Strategy</v>
      </c>
    </row>
    <row r="378" spans="1:9" x14ac:dyDescent="0.25">
      <c r="A378" s="25" t="str">
        <f xml:space="preserve"> MapNameLkup</f>
        <v>m_ofs_trex_ar_invoices</v>
      </c>
      <c r="B378" s="1" t="s">
        <v>861</v>
      </c>
      <c r="C378" s="1" t="s">
        <v>125</v>
      </c>
      <c r="D378" s="1" t="s">
        <v>863</v>
      </c>
      <c r="E378" s="1" t="s">
        <v>860</v>
      </c>
      <c r="F378" s="1" t="s">
        <v>125</v>
      </c>
      <c r="G378" s="1" t="s">
        <v>66</v>
      </c>
      <c r="H378" s="10" t="str">
        <f>CONCATENATE(Connectors[[#This Row],[FROMINSTANCE]],"::",Connectors[[#This Row],[FROMFIELD]],"::",Connectors[[#This Row],[FROMINSTANCETYPE]])</f>
        <v>FLTR_insert::kme_ar_inv_no::Filter</v>
      </c>
      <c r="I378" s="10" t="str">
        <f>CONCATENATE(Connectors[[#This Row],[TOINSTANCE]],"::",Connectors[[#This Row],[TOFIELD]],"::",Connectors[[#This Row],[TOINSTANCETYPE]])</f>
        <v>UPD_ofs_ar_invoices_insert::kme_ar_inv_no::Update Strategy</v>
      </c>
    </row>
    <row r="379" spans="1:9" x14ac:dyDescent="0.25">
      <c r="A379" s="25" t="str">
        <f xml:space="preserve"> MapNameLkup</f>
        <v>m_ofs_trex_ar_invoices</v>
      </c>
      <c r="B379" s="1" t="s">
        <v>861</v>
      </c>
      <c r="C379" s="1" t="s">
        <v>126</v>
      </c>
      <c r="D379" s="1" t="s">
        <v>863</v>
      </c>
      <c r="E379" s="1" t="s">
        <v>860</v>
      </c>
      <c r="F379" s="1" t="s">
        <v>126</v>
      </c>
      <c r="G379" s="1" t="s">
        <v>66</v>
      </c>
      <c r="H379" s="10" t="str">
        <f>CONCATENATE(Connectors[[#This Row],[FROMINSTANCE]],"::",Connectors[[#This Row],[FROMFIELD]],"::",Connectors[[#This Row],[FROMINSTANCETYPE]])</f>
        <v>FLTR_insert::kme_ar_inv_amd_no::Filter</v>
      </c>
      <c r="I379" s="10" t="str">
        <f>CONCATENATE(Connectors[[#This Row],[TOINSTANCE]],"::",Connectors[[#This Row],[TOFIELD]],"::",Connectors[[#This Row],[TOINSTANCETYPE]])</f>
        <v>UPD_ofs_ar_invoices_insert::kme_ar_inv_amd_no::Update Strategy</v>
      </c>
    </row>
    <row r="380" spans="1:9" x14ac:dyDescent="0.25">
      <c r="A380" s="25" t="str">
        <f xml:space="preserve"> MapNameLkup</f>
        <v>m_ofs_trex_ar_invoices</v>
      </c>
      <c r="B380" s="1" t="s">
        <v>861</v>
      </c>
      <c r="C380" s="1" t="s">
        <v>121</v>
      </c>
      <c r="D380" s="1" t="s">
        <v>863</v>
      </c>
      <c r="E380" s="1" t="s">
        <v>860</v>
      </c>
      <c r="F380" s="1" t="s">
        <v>121</v>
      </c>
      <c r="G380" s="1" t="s">
        <v>66</v>
      </c>
      <c r="H380" s="10" t="str">
        <f>CONCATENATE(Connectors[[#This Row],[FROMINSTANCE]],"::",Connectors[[#This Row],[FROMFIELD]],"::",Connectors[[#This Row],[FROMINSTANCETYPE]])</f>
        <v>FLTR_insert::account_number::Filter</v>
      </c>
      <c r="I380" s="10" t="str">
        <f>CONCATENATE(Connectors[[#This Row],[TOINSTANCE]],"::",Connectors[[#This Row],[TOFIELD]],"::",Connectors[[#This Row],[TOINSTANCETYPE]])</f>
        <v>UPD_ofs_ar_invoices_insert::account_number::Update Strategy</v>
      </c>
    </row>
    <row r="381" spans="1:9" x14ac:dyDescent="0.25">
      <c r="A381" s="25" t="str">
        <f xml:space="preserve"> MapNameLkup</f>
        <v>m_ofs_trex_ar_invoices</v>
      </c>
      <c r="B381" s="1" t="s">
        <v>861</v>
      </c>
      <c r="C381" s="1" t="s">
        <v>122</v>
      </c>
      <c r="D381" s="1" t="s">
        <v>863</v>
      </c>
      <c r="E381" s="1" t="s">
        <v>860</v>
      </c>
      <c r="F381" s="1" t="s">
        <v>122</v>
      </c>
      <c r="G381" s="1" t="s">
        <v>66</v>
      </c>
      <c r="H381" s="10" t="str">
        <f>CONCATENATE(Connectors[[#This Row],[FROMINSTANCE]],"::",Connectors[[#This Row],[FROMFIELD]],"::",Connectors[[#This Row],[FROMINSTANCETYPE]])</f>
        <v>FLTR_insert::party_name::Filter</v>
      </c>
      <c r="I381" s="10" t="str">
        <f>CONCATENATE(Connectors[[#This Row],[TOINSTANCE]],"::",Connectors[[#This Row],[TOFIELD]],"::",Connectors[[#This Row],[TOINSTANCETYPE]])</f>
        <v>UPD_ofs_ar_invoices_insert::party_name::Update Strategy</v>
      </c>
    </row>
    <row r="382" spans="1:9" x14ac:dyDescent="0.25">
      <c r="A382" s="25" t="str">
        <f xml:space="preserve"> MapNameLkup</f>
        <v>m_ofs_trex_ar_invoices</v>
      </c>
      <c r="B382" s="1" t="s">
        <v>861</v>
      </c>
      <c r="C382" s="1" t="s">
        <v>127</v>
      </c>
      <c r="D382" s="1" t="s">
        <v>863</v>
      </c>
      <c r="E382" s="1" t="s">
        <v>860</v>
      </c>
      <c r="F382" s="1" t="s">
        <v>127</v>
      </c>
      <c r="G382" s="1" t="s">
        <v>66</v>
      </c>
      <c r="H382" s="10" t="str">
        <f>CONCATENATE(Connectors[[#This Row],[FROMINSTANCE]],"::",Connectors[[#This Row],[FROMFIELD]],"::",Connectors[[#This Row],[FROMINSTANCETYPE]])</f>
        <v>FLTR_insert::invoice_date::Filter</v>
      </c>
      <c r="I382" s="10" t="str">
        <f>CONCATENATE(Connectors[[#This Row],[TOINSTANCE]],"::",Connectors[[#This Row],[TOFIELD]],"::",Connectors[[#This Row],[TOINSTANCETYPE]])</f>
        <v>UPD_ofs_ar_invoices_insert::invoice_date::Update Strategy</v>
      </c>
    </row>
    <row r="383" spans="1:9" x14ac:dyDescent="0.25">
      <c r="A383" s="25" t="str">
        <f xml:space="preserve"> MapNameLkup</f>
        <v>m_ofs_trex_ar_invoices</v>
      </c>
      <c r="B383" s="1" t="s">
        <v>861</v>
      </c>
      <c r="C383" s="1" t="s">
        <v>113</v>
      </c>
      <c r="D383" s="1" t="s">
        <v>863</v>
      </c>
      <c r="E383" s="1" t="s">
        <v>860</v>
      </c>
      <c r="F383" s="1" t="s">
        <v>113</v>
      </c>
      <c r="G383" s="1" t="s">
        <v>66</v>
      </c>
      <c r="H383" s="10" t="str">
        <f>CONCATENATE(Connectors[[#This Row],[FROMINSTANCE]],"::",Connectors[[#This Row],[FROMFIELD]],"::",Connectors[[#This Row],[FROMINSTANCETYPE]])</f>
        <v>FLTR_insert::etl_trans_id::Filter</v>
      </c>
      <c r="I383" s="10" t="str">
        <f>CONCATENATE(Connectors[[#This Row],[TOINSTANCE]],"::",Connectors[[#This Row],[TOFIELD]],"::",Connectors[[#This Row],[TOINSTANCETYPE]])</f>
        <v>UPD_ofs_ar_invoices_insert::etl_trans_id::Update Strategy</v>
      </c>
    </row>
    <row r="384" spans="1:9" x14ac:dyDescent="0.25">
      <c r="A384" s="25" t="str">
        <f xml:space="preserve"> MapNameLkup</f>
        <v>m_ofs_trex_ar_invoices</v>
      </c>
      <c r="B384" s="1" t="s">
        <v>861</v>
      </c>
      <c r="C384" s="1" t="s">
        <v>114</v>
      </c>
      <c r="D384" s="1" t="s">
        <v>863</v>
      </c>
      <c r="E384" s="1" t="s">
        <v>860</v>
      </c>
      <c r="F384" s="1" t="s">
        <v>114</v>
      </c>
      <c r="G384" s="1" t="s">
        <v>66</v>
      </c>
      <c r="H384" s="10" t="str">
        <f>CONCATENATE(Connectors[[#This Row],[FROMINSTANCE]],"::",Connectors[[#This Row],[FROMFIELD]],"::",Connectors[[#This Row],[FROMINSTANCETYPE]])</f>
        <v>FLTR_insert::extn_sys_cd::Filter</v>
      </c>
      <c r="I384" s="10" t="str">
        <f>CONCATENATE(Connectors[[#This Row],[TOINSTANCE]],"::",Connectors[[#This Row],[TOFIELD]],"::",Connectors[[#This Row],[TOINSTANCETYPE]])</f>
        <v>UPD_ofs_ar_invoices_insert::extn_sys_cd::Update Strategy</v>
      </c>
    </row>
    <row r="385" spans="1:9" x14ac:dyDescent="0.25">
      <c r="A385" s="25" t="str">
        <f xml:space="preserve"> MapNameLkup</f>
        <v>m_ofs_trex_ar_invoices</v>
      </c>
      <c r="B385" s="1" t="s">
        <v>861</v>
      </c>
      <c r="C385" s="1" t="s">
        <v>115</v>
      </c>
      <c r="D385" s="1" t="s">
        <v>863</v>
      </c>
      <c r="E385" s="1" t="s">
        <v>860</v>
      </c>
      <c r="F385" s="1" t="s">
        <v>115</v>
      </c>
      <c r="G385" s="1" t="s">
        <v>66</v>
      </c>
      <c r="H385" s="10" t="str">
        <f>CONCATENATE(Connectors[[#This Row],[FROMINSTANCE]],"::",Connectors[[#This Row],[FROMFIELD]],"::",Connectors[[#This Row],[FROMINSTANCETYPE]])</f>
        <v>FLTR_insert::batch_id::Filter</v>
      </c>
      <c r="I385" s="10" t="str">
        <f>CONCATENATE(Connectors[[#This Row],[TOINSTANCE]],"::",Connectors[[#This Row],[TOFIELD]],"::",Connectors[[#This Row],[TOINSTANCETYPE]])</f>
        <v>UPD_ofs_ar_invoices_insert::batch_id::Update Strategy</v>
      </c>
    </row>
    <row r="386" spans="1:9" x14ac:dyDescent="0.25">
      <c r="A386" s="25" t="str">
        <f xml:space="preserve"> MapNameLkup</f>
        <v>m_ofs_trex_ar_invoices</v>
      </c>
      <c r="B386" s="1" t="s">
        <v>861</v>
      </c>
      <c r="C386" s="1" t="s">
        <v>116</v>
      </c>
      <c r="D386" s="1" t="s">
        <v>863</v>
      </c>
      <c r="E386" s="1" t="s">
        <v>860</v>
      </c>
      <c r="F386" s="1" t="s">
        <v>116</v>
      </c>
      <c r="G386" s="1" t="s">
        <v>66</v>
      </c>
      <c r="H386" s="10" t="str">
        <f>CONCATENATE(Connectors[[#This Row],[FROMINSTANCE]],"::",Connectors[[#This Row],[FROMFIELD]],"::",Connectors[[#This Row],[FROMINSTANCETYPE]])</f>
        <v>FLTR_insert::batch_name::Filter</v>
      </c>
      <c r="I386" s="10" t="str">
        <f>CONCATENATE(Connectors[[#This Row],[TOINSTANCE]],"::",Connectors[[#This Row],[TOFIELD]],"::",Connectors[[#This Row],[TOINSTANCETYPE]])</f>
        <v>UPD_ofs_ar_invoices_insert::batch_name::Update Strategy</v>
      </c>
    </row>
    <row r="387" spans="1:9" x14ac:dyDescent="0.25">
      <c r="A387" s="25" t="str">
        <f xml:space="preserve"> MapNameLkup</f>
        <v>m_ofs_trex_ar_invoices</v>
      </c>
      <c r="B387" s="1" t="s">
        <v>861</v>
      </c>
      <c r="C387" s="1" t="s">
        <v>870</v>
      </c>
      <c r="D387" s="1" t="s">
        <v>863</v>
      </c>
      <c r="E387" s="1" t="s">
        <v>860</v>
      </c>
      <c r="F387" s="1" t="s">
        <v>870</v>
      </c>
      <c r="G387" s="1" t="s">
        <v>66</v>
      </c>
      <c r="H387" s="10" t="str">
        <f>CONCATENATE(Connectors[[#This Row],[FROMINSTANCE]],"::",Connectors[[#This Row],[FROMFIELD]],"::",Connectors[[#This Row],[FROMINSTANCETYPE]])</f>
        <v>FLTR_insert::o_org_id::Filter</v>
      </c>
      <c r="I387" s="10" t="str">
        <f>CONCATENATE(Connectors[[#This Row],[TOINSTANCE]],"::",Connectors[[#This Row],[TOFIELD]],"::",Connectors[[#This Row],[TOINSTANCETYPE]])</f>
        <v>UPD_ofs_ar_invoices_insert::o_org_id::Update Strategy</v>
      </c>
    </row>
    <row r="388" spans="1:9" x14ac:dyDescent="0.25">
      <c r="A388" s="25" t="str">
        <f xml:space="preserve"> MapNameLkup</f>
        <v>m_ofs_trex_ar_invoices</v>
      </c>
      <c r="B388" s="1" t="s">
        <v>861</v>
      </c>
      <c r="C388" s="1" t="s">
        <v>871</v>
      </c>
      <c r="D388" s="1" t="s">
        <v>863</v>
      </c>
      <c r="E388" s="1" t="s">
        <v>860</v>
      </c>
      <c r="F388" s="1" t="s">
        <v>871</v>
      </c>
      <c r="G388" s="1" t="s">
        <v>66</v>
      </c>
      <c r="H388" s="10" t="str">
        <f>CONCATENATE(Connectors[[#This Row],[FROMINSTANCE]],"::",Connectors[[#This Row],[FROMFIELD]],"::",Connectors[[#This Row],[FROMINSTANCETYPE]])</f>
        <v>FLTR_insert::o_batch_source_id::Filter</v>
      </c>
      <c r="I388" s="10" t="str">
        <f>CONCATENATE(Connectors[[#This Row],[TOINSTANCE]],"::",Connectors[[#This Row],[TOFIELD]],"::",Connectors[[#This Row],[TOINSTANCETYPE]])</f>
        <v>UPD_ofs_ar_invoices_insert::o_batch_source_id::Update Strategy</v>
      </c>
    </row>
    <row r="389" spans="1:9" x14ac:dyDescent="0.25">
      <c r="A389" s="25" t="str">
        <f xml:space="preserve"> MapNameLkup</f>
        <v>m_ofs_trex_ar_invoices</v>
      </c>
      <c r="B389" s="1" t="s">
        <v>861</v>
      </c>
      <c r="C389" s="1" t="s">
        <v>119</v>
      </c>
      <c r="D389" s="1" t="s">
        <v>863</v>
      </c>
      <c r="E389" s="1" t="s">
        <v>860</v>
      </c>
      <c r="F389" s="1" t="s">
        <v>119</v>
      </c>
      <c r="G389" s="1" t="s">
        <v>66</v>
      </c>
      <c r="H389" s="10" t="str">
        <f>CONCATENATE(Connectors[[#This Row],[FROMINSTANCE]],"::",Connectors[[#This Row],[FROMFIELD]],"::",Connectors[[#This Row],[FROMINSTANCETYPE]])</f>
        <v>FLTR_insert::company::Filter</v>
      </c>
      <c r="I389" s="10" t="str">
        <f>CONCATENATE(Connectors[[#This Row],[TOINSTANCE]],"::",Connectors[[#This Row],[TOFIELD]],"::",Connectors[[#This Row],[TOINSTANCETYPE]])</f>
        <v>UPD_ofs_ar_invoices_insert::company::Update Strategy</v>
      </c>
    </row>
    <row r="390" spans="1:9" x14ac:dyDescent="0.25">
      <c r="A390" s="25" t="str">
        <f xml:space="preserve"> MapNameLkup</f>
        <v>m_ofs_trex_ar_invoices</v>
      </c>
      <c r="B390" s="1" t="s">
        <v>861</v>
      </c>
      <c r="C390" s="1" t="s">
        <v>120</v>
      </c>
      <c r="D390" s="1" t="s">
        <v>863</v>
      </c>
      <c r="E390" s="1" t="s">
        <v>860</v>
      </c>
      <c r="F390" s="1" t="s">
        <v>120</v>
      </c>
      <c r="G390" s="1" t="s">
        <v>66</v>
      </c>
      <c r="H390" s="10" t="str">
        <f>CONCATENATE(Connectors[[#This Row],[FROMINSTANCE]],"::",Connectors[[#This Row],[FROMFIELD]],"::",Connectors[[#This Row],[FROMINSTANCETYPE]])</f>
        <v>FLTR_insert::company_description::Filter</v>
      </c>
      <c r="I390" s="10" t="str">
        <f>CONCATENATE(Connectors[[#This Row],[TOINSTANCE]],"::",Connectors[[#This Row],[TOFIELD]],"::",Connectors[[#This Row],[TOINSTANCETYPE]])</f>
        <v>UPD_ofs_ar_invoices_insert::company_description::Update Strategy</v>
      </c>
    </row>
    <row r="391" spans="1:9" x14ac:dyDescent="0.25">
      <c r="A391" s="25" t="str">
        <f xml:space="preserve"> MapNameLkup</f>
        <v>m_ofs_trex_ar_invoices</v>
      </c>
      <c r="B391" s="1" t="s">
        <v>861</v>
      </c>
      <c r="C391" s="1" t="s">
        <v>872</v>
      </c>
      <c r="D391" s="1" t="s">
        <v>863</v>
      </c>
      <c r="E391" s="1" t="s">
        <v>860</v>
      </c>
      <c r="F391" s="1" t="s">
        <v>872</v>
      </c>
      <c r="G391" s="1" t="s">
        <v>66</v>
      </c>
      <c r="H391" s="10" t="str">
        <f>CONCATENATE(Connectors[[#This Row],[FROMINSTANCE]],"::",Connectors[[#This Row],[FROMFIELD]],"::",Connectors[[#This Row],[FROMINSTANCETYPE]])</f>
        <v>FLTR_insert::o_customer_trx_id::Filter</v>
      </c>
      <c r="I391" s="10" t="str">
        <f>CONCATENATE(Connectors[[#This Row],[TOINSTANCE]],"::",Connectors[[#This Row],[TOFIELD]],"::",Connectors[[#This Row],[TOINSTANCETYPE]])</f>
        <v>UPD_ofs_ar_invoices_insert::o_customer_trx_id::Update Strategy</v>
      </c>
    </row>
    <row r="392" spans="1:9" x14ac:dyDescent="0.25">
      <c r="A392" s="25" t="str">
        <f xml:space="preserve"> MapNameLkup</f>
        <v>m_ofs_trex_ar_invoices</v>
      </c>
      <c r="B392" s="1" t="s">
        <v>861</v>
      </c>
      <c r="C392" s="1" t="s">
        <v>128</v>
      </c>
      <c r="D392" s="1" t="s">
        <v>863</v>
      </c>
      <c r="E392" s="1" t="s">
        <v>860</v>
      </c>
      <c r="F392" s="1" t="s">
        <v>128</v>
      </c>
      <c r="G392" s="1" t="s">
        <v>66</v>
      </c>
      <c r="H392" s="10" t="str">
        <f>CONCATENATE(Connectors[[#This Row],[FROMINSTANCE]],"::",Connectors[[#This Row],[FROMFIELD]],"::",Connectors[[#This Row],[FROMINSTANCETYPE]])</f>
        <v>FLTR_insert::due_date::Filter</v>
      </c>
      <c r="I392" s="10" t="str">
        <f>CONCATENATE(Connectors[[#This Row],[TOINSTANCE]],"::",Connectors[[#This Row],[TOFIELD]],"::",Connectors[[#This Row],[TOINSTANCETYPE]])</f>
        <v>UPD_ofs_ar_invoices_insert::due_date::Update Strategy</v>
      </c>
    </row>
    <row r="393" spans="1:9" x14ac:dyDescent="0.25">
      <c r="A393" s="25" t="str">
        <f xml:space="preserve"> MapNameLkup</f>
        <v>m_ofs_trex_ar_invoices</v>
      </c>
      <c r="B393" s="1" t="s">
        <v>861</v>
      </c>
      <c r="C393" s="1" t="s">
        <v>129</v>
      </c>
      <c r="D393" s="1" t="s">
        <v>863</v>
      </c>
      <c r="E393" s="1" t="s">
        <v>860</v>
      </c>
      <c r="F393" s="1" t="s">
        <v>129</v>
      </c>
      <c r="G393" s="1" t="s">
        <v>66</v>
      </c>
      <c r="H393" s="10" t="str">
        <f>CONCATENATE(Connectors[[#This Row],[FROMINSTANCE]],"::",Connectors[[#This Row],[FROMFIELD]],"::",Connectors[[#This Row],[FROMINSTANCETYPE]])</f>
        <v>FLTR_insert::offset_nat_acct_no::Filter</v>
      </c>
      <c r="I393" s="10" t="str">
        <f>CONCATENATE(Connectors[[#This Row],[TOINSTANCE]],"::",Connectors[[#This Row],[TOFIELD]],"::",Connectors[[#This Row],[TOINSTANCETYPE]])</f>
        <v>UPD_ofs_ar_invoices_insert::offset_nat_acct_no::Update Strategy</v>
      </c>
    </row>
    <row r="394" spans="1:9" x14ac:dyDescent="0.25">
      <c r="A394" s="25" t="str">
        <f xml:space="preserve"> MapNameLkup</f>
        <v>m_ofs_trex_ar_invoices</v>
      </c>
      <c r="B394" s="1" t="s">
        <v>861</v>
      </c>
      <c r="C394" s="1" t="s">
        <v>130</v>
      </c>
      <c r="D394" s="1" t="s">
        <v>863</v>
      </c>
      <c r="E394" s="1" t="s">
        <v>860</v>
      </c>
      <c r="F394" s="1" t="s">
        <v>130</v>
      </c>
      <c r="G394" s="1" t="s">
        <v>66</v>
      </c>
      <c r="H394" s="10" t="str">
        <f>CONCATENATE(Connectors[[#This Row],[FROMINSTANCE]],"::",Connectors[[#This Row],[FROMFIELD]],"::",Connectors[[#This Row],[FROMINSTANCETYPE]])</f>
        <v>FLTR_insert::transaction_type::Filter</v>
      </c>
      <c r="I394" s="10" t="str">
        <f>CONCATENATE(Connectors[[#This Row],[TOINSTANCE]],"::",Connectors[[#This Row],[TOFIELD]],"::",Connectors[[#This Row],[TOINSTANCETYPE]])</f>
        <v>UPD_ofs_ar_invoices_insert::transaction_type::Update Strategy</v>
      </c>
    </row>
    <row r="395" spans="1:9" x14ac:dyDescent="0.25">
      <c r="A395" s="25" t="str">
        <f xml:space="preserve"> MapNameLkup</f>
        <v>m_ofs_trex_ar_invoices</v>
      </c>
      <c r="B395" s="1" t="s">
        <v>861</v>
      </c>
      <c r="C395" s="1" t="s">
        <v>873</v>
      </c>
      <c r="D395" s="1" t="s">
        <v>863</v>
      </c>
      <c r="E395" s="1" t="s">
        <v>860</v>
      </c>
      <c r="F395" s="1" t="s">
        <v>873</v>
      </c>
      <c r="G395" s="1" t="s">
        <v>66</v>
      </c>
      <c r="H395" s="10" t="str">
        <f>CONCATENATE(Connectors[[#This Row],[FROMINSTANCE]],"::",Connectors[[#This Row],[FROMFIELD]],"::",Connectors[[#This Row],[FROMINSTANCETYPE]])</f>
        <v>FLTR_insert::o_acctd_amount::Filter</v>
      </c>
      <c r="I395" s="10" t="str">
        <f>CONCATENATE(Connectors[[#This Row],[TOINSTANCE]],"::",Connectors[[#This Row],[TOFIELD]],"::",Connectors[[#This Row],[TOINSTANCETYPE]])</f>
        <v>UPD_ofs_ar_invoices_insert::o_acctd_amount::Update Strategy</v>
      </c>
    </row>
    <row r="396" spans="1:9" x14ac:dyDescent="0.25">
      <c r="A396" s="25" t="str">
        <f xml:space="preserve"> MapNameLkup</f>
        <v>m_ofs_trex_ar_invoices</v>
      </c>
      <c r="B396" s="1" t="s">
        <v>861</v>
      </c>
      <c r="C396" s="1" t="s">
        <v>874</v>
      </c>
      <c r="D396" s="1" t="s">
        <v>863</v>
      </c>
      <c r="E396" s="1" t="s">
        <v>860</v>
      </c>
      <c r="F396" s="1" t="s">
        <v>874</v>
      </c>
      <c r="G396" s="1" t="s">
        <v>66</v>
      </c>
      <c r="H396" s="10" t="str">
        <f>CONCATENATE(Connectors[[#This Row],[FROMINSTANCE]],"::",Connectors[[#This Row],[FROMFIELD]],"::",Connectors[[#This Row],[FROMINSTANCETYPE]])</f>
        <v>FLTR_insert::o_amount::Filter</v>
      </c>
      <c r="I396" s="10" t="str">
        <f>CONCATENATE(Connectors[[#This Row],[TOINSTANCE]],"::",Connectors[[#This Row],[TOFIELD]],"::",Connectors[[#This Row],[TOINSTANCETYPE]])</f>
        <v>UPD_ofs_ar_invoices_insert::o_amount::Update Strategy</v>
      </c>
    </row>
    <row r="397" spans="1:9" x14ac:dyDescent="0.25">
      <c r="A397" s="25" t="str">
        <f xml:space="preserve"> MapNameLkup</f>
        <v>m_ofs_trex_ar_invoices</v>
      </c>
      <c r="B397" s="1" t="s">
        <v>861</v>
      </c>
      <c r="C397" s="1" t="s">
        <v>875</v>
      </c>
      <c r="D397" s="1" t="s">
        <v>863</v>
      </c>
      <c r="E397" s="1" t="s">
        <v>860</v>
      </c>
      <c r="F397" s="1" t="s">
        <v>875</v>
      </c>
      <c r="G397" s="1" t="s">
        <v>66</v>
      </c>
      <c r="H397" s="10" t="str">
        <f>CONCATENATE(Connectors[[#This Row],[FROMINSTANCE]],"::",Connectors[[#This Row],[FROMFIELD]],"::",Connectors[[#This Row],[FROMINSTANCETYPE]])</f>
        <v>FLTR_insert::o_acctd_amount_applied_to::Filter</v>
      </c>
      <c r="I397" s="10" t="str">
        <f>CONCATENATE(Connectors[[#This Row],[TOINSTANCE]],"::",Connectors[[#This Row],[TOFIELD]],"::",Connectors[[#This Row],[TOINSTANCETYPE]])</f>
        <v>UPD_ofs_ar_invoices_insert::o_acctd_amount_applied_to::Update Strategy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D0A674C6FFC3F4D9D9F5087553ACF0E" ma:contentTypeVersion="56" ma:contentTypeDescription="Create a new document." ma:contentTypeScope="" ma:versionID="dad9cdfdccd1a7040c111553f4412952">
  <xsd:schema xmlns:xsd="http://www.w3.org/2001/XMLSchema" xmlns:xs="http://www.w3.org/2001/XMLSchema" xmlns:p="http://schemas.microsoft.com/office/2006/metadata/properties" xmlns:ns1="http://schemas.microsoft.com/sharepoint/v3" xmlns:ns2="ea9fce4f-2eb5-48f7-9cf8-9f880f5fcac9" xmlns:ns3="66dd0856-7b3f-4582-b519-3a4600e12597" xmlns:ns4="61f78dd5-20ad-4f7b-8ade-18b039b59425" targetNamespace="http://schemas.microsoft.com/office/2006/metadata/properties" ma:root="true" ma:fieldsID="7c0bb3e54730275a5c86b50600a7b586" ns1:_="" ns2:_="" ns3:_="" ns4:_="">
    <xsd:import namespace="http://schemas.microsoft.com/sharepoint/v3"/>
    <xsd:import namespace="ea9fce4f-2eb5-48f7-9cf8-9f880f5fcac9"/>
    <xsd:import namespace="66dd0856-7b3f-4582-b519-3a4600e12597"/>
    <xsd:import namespace="61f78dd5-20ad-4f7b-8ade-18b039b59425"/>
    <xsd:element name="properties">
      <xsd:complexType>
        <xsd:sequence>
          <xsd:element name="documentManagement">
            <xsd:complexType>
              <xsd:all>
                <xsd:element ref="ns2:dcTitle" minOccurs="0"/>
                <xsd:element ref="ns2:dcContributor" minOccurs="0"/>
                <xsd:element ref="ns2:dcPublisher" minOccurs="0"/>
                <xsd:element ref="ns2:dcCoverage" minOccurs="0"/>
                <xsd:element ref="ns2:dcFormat" minOccurs="0"/>
                <xsd:element ref="ns2:dcRelationship" minOccurs="0"/>
                <xsd:element ref="ns2:dcRelation" minOccurs="0"/>
                <xsd:element ref="ns2:dcSubject" minOccurs="0"/>
                <xsd:element ref="ns2:dcType" minOccurs="0"/>
                <xsd:element ref="ns2:dcCollection" minOccurs="0"/>
                <xsd:element ref="ns2:dcIdentifier" minOccurs="0"/>
                <xsd:element ref="ns2:dcDescription" minOccurs="0"/>
                <xsd:element ref="ns1:PublishingStartDate" minOccurs="0"/>
                <xsd:element ref="ns1:PublishingExpirationDate" minOccurs="0"/>
                <xsd:element ref="ns3:j865b86cad73446dbbf8f1a02ecfd540" minOccurs="0"/>
                <xsd:element ref="ns4:TaxCatchAll" minOccurs="0"/>
                <xsd:element ref="ns3:c69c8d4fe4e146be80d1d62ce35736ed" minOccurs="0"/>
                <xsd:element ref="ns3:j5589980656645c8af7fcf3e8a1af912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PublishingStartDate" ma:index="17" nillable="true" ma:displayName="Scheduling Start Date" ma:description="Scheduling Start Date is a site column created by the Publishing feature. It is used to specify the date and time on which this page will first appear to site visitors." ma:internalName="PublishingStartDate">
      <xsd:simpleType>
        <xsd:restriction base="dms:Unknown"/>
      </xsd:simpleType>
    </xsd:element>
    <xsd:element name="PublishingExpirationDate" ma:index="18" nillable="true" ma:displayName="Scheduling End Date" ma:description="Scheduling End Date is a site column created by the Publishing feature. It is used to specify the date and time on which this page will no longer appear to site visitors." ma:internalName="PublishingExpirationDat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9fce4f-2eb5-48f7-9cf8-9f880f5fcac9" elementFormDefault="qualified">
    <xsd:import namespace="http://schemas.microsoft.com/office/2006/documentManagement/types"/>
    <xsd:import namespace="http://schemas.microsoft.com/office/infopath/2007/PartnerControls"/>
    <xsd:element name="dcTitle" ma:index="1" nillable="true" ma:displayName="dcTitle" ma:description="A name given to the resource.  Typically, a Title will be a name by which the resource is formally known." ma:internalName="dcTitle" ma:readOnly="false">
      <xsd:simpleType>
        <xsd:restriction base="dms:Text">
          <xsd:maxLength value="255"/>
        </xsd:restriction>
      </xsd:simpleType>
    </xsd:element>
    <xsd:element name="dcContributor" ma:index="2" nillable="true" ma:displayName="dcContributor" ma:description="One or more people or organizations that contributed to this resource.  May contain internal and external parties/entities.  Ensure names are entered consistently (or through a controlled list)." ma:internalName="dcContributor" ma:readOnly="false">
      <xsd:simpleType>
        <xsd:restriction base="dms:Text">
          <xsd:maxLength value="255"/>
        </xsd:restriction>
      </xsd:simpleType>
    </xsd:element>
    <xsd:element name="dcPublisher" ma:index="3" nillable="true" ma:displayName="dcPublisher" ma:description="The entity responsible for making the resource available. Examples of a Publisher include a person, an organization, or a service. Typically, the name of a Publisher should be used to indicate the entity." ma:internalName="dcPublisher" ma:readOnly="false">
      <xsd:simpleType>
        <xsd:restriction base="dms:Text">
          <xsd:maxLength value="255"/>
        </xsd:restriction>
      </xsd:simpleType>
    </xsd:element>
    <xsd:element name="dcCoverage" ma:index="4" nillable="true" ma:displayName="dcCoverage" ma:description="The extent or scope of the content of the resource. Coverage will typically include spatial location (a place name or geographic co-ordinates), temporal period (a period label, date, or date range) or jurisdiction (such as a named administrative entity). Recommended best practice is to select a value from a controlled vocabulary (for example, the Thesaurus of Geographic Names [Getty Thesaurus of Geographic Names, http://www. getty.edu/research/tools/vocabulary/tgn/]). Where appropriate, named places or time periods should be used in preference to numeric identifiers such as sets of co-ordinates or date ranges." ma:internalName="dcCoverage" ma:readOnly="false">
      <xsd:simpleType>
        <xsd:restriction base="dms:Text">
          <xsd:maxLength value="255"/>
        </xsd:restriction>
      </xsd:simpleType>
    </xsd:element>
    <xsd:element name="dcFormat" ma:index="5" nillable="true" ma:displayName="dcFormat" ma:default="application/ms-excel" ma:description="Media-type, file format or dimensions." ma:format="Dropdown" ma:internalName="dcFormat" ma:readOnly="false">
      <xsd:simpleType>
        <xsd:restriction base="dms:Choice">
          <xsd:enumeration value="application/denodo"/>
          <xsd:enumeration value="application/ms-access"/>
          <xsd:enumeration value="application/ms-excel"/>
          <xsd:enumeration value="application/ms-outlook"/>
          <xsd:enumeration value="application/ms-powerpoint"/>
          <xsd:enumeration value="application/ms-project"/>
          <xsd:enumeration value="application/ms-visio"/>
          <xsd:enumeration value="application/ms-word"/>
          <xsd:enumeration value="application/pdf"/>
          <xsd:enumeration value="application/xml"/>
          <xsd:enumeration value="application/zip"/>
          <xsd:enumeration value="audio/mpeg"/>
          <xsd:enumeration value="audio/x-wav"/>
          <xsd:enumeration value="example"/>
          <xsd:enumeration value="image/bmp"/>
          <xsd:enumeration value="image/jpeg"/>
          <xsd:enumeration value="image/png"/>
          <xsd:enumeration value="image/tiff"/>
          <xsd:enumeration value="message/web-archive"/>
          <xsd:enumeration value="model"/>
          <xsd:enumeration value="multipart"/>
          <xsd:enumeration value="text/html"/>
          <xsd:enumeration value="text/plain"/>
          <xsd:enumeration value="video/mpeg"/>
          <xsd:enumeration value="video/quicktime"/>
          <xsd:enumeration value="video/ms-video"/>
        </xsd:restriction>
      </xsd:simpleType>
    </xsd:element>
    <xsd:element name="dcRelationship" ma:index="6" nillable="true" ma:displayName="dcRelationship" ma:default="IsPartOf" ma:description="A qualification of the relation to another content resource." ma:format="Dropdown" ma:internalName="dcRelationship" ma:readOnly="false">
      <xsd:simpleType>
        <xsd:restriction base="dms:Choice">
          <xsd:enumeration value="IsVersionOf"/>
          <xsd:enumeration value="HasVersion"/>
          <xsd:enumeration value="IsReplacedBy"/>
          <xsd:enumeration value="Replaces"/>
          <xsd:enumeration value="IsRequiredBy"/>
          <xsd:enumeration value="Requires"/>
          <xsd:enumeration value="IsPartOf"/>
          <xsd:enumeration value="HasPart"/>
          <xsd:enumeration value="IsReferencedBy"/>
          <xsd:enumeration value="References"/>
          <xsd:enumeration value="IsFormatOf"/>
          <xsd:enumeration value="HasFormat"/>
        </xsd:restriction>
      </xsd:simpleType>
    </xsd:element>
    <xsd:element name="dcRelation" ma:index="7" nillable="true" ma:displayName="dcRelation" ma:description="A reference to a related resource. Recommended best practice is to reference the resource by means of a string or number conforming to a formal identification system." ma:internalName="dcRelation" ma:readOnly="false">
      <xsd:simpleType>
        <xsd:restriction base="dms:Text">
          <xsd:maxLength value="255"/>
        </xsd:restriction>
      </xsd:simpleType>
    </xsd:element>
    <xsd:element name="dcSubject" ma:index="8" nillable="true" ma:displayName="dcSubject" ma:description="The topic of the content of the resource. Typically, a Subject will be expressed as keywords or key phrases or classification codes that describe the topic of the resource. Recommended best practice is to select a value from a controlled vocabulary or formal classification scheme." ma:format="Dropdown" ma:internalName="dcSubject" ma:readOnly="false">
      <xsd:simpleType>
        <xsd:restriction base="dms:Choice">
          <xsd:enumeration value="Analytics"/>
          <xsd:enumeration value="Big Data"/>
          <xsd:enumeration value="Business Architecture"/>
          <xsd:enumeration value="Data Architecture"/>
          <xsd:enumeration value="Data Integration"/>
          <xsd:enumeration value="Data Quality"/>
          <xsd:enumeration value="Data Virtualization"/>
          <xsd:enumeration value="Enterprise Architecture"/>
          <xsd:enumeration value="Information Architecture"/>
          <xsd:enumeration value="Information Sharing"/>
          <xsd:enumeration value="IPM"/>
          <xsd:enumeration value="MDM"/>
          <xsd:enumeration value="Metrics"/>
          <xsd:enumeration value="Project Collaboration"/>
          <xsd:enumeration value="Reporting"/>
          <xsd:enumeration value="Security"/>
          <xsd:enumeration value="Service Oriented Architecture"/>
        </xsd:restriction>
      </xsd:simpleType>
    </xsd:element>
    <xsd:element name="dcType" ma:index="9" nillable="true" ma:displayName="dcType" ma:default="Text" ma:description="The nature or genre of the content of the resource. Type includes terms describing general categories, functions, genres, or aggregation levels for content. Recommended best practice is to select a value from a controlled vocabulary (for example, the DCMI Type Vocabulary ). To describe the physical or digital manifestation of the resource, use the FORMAT element." ma:format="Dropdown" ma:internalName="dcType" ma:readOnly="false">
      <xsd:simpleType>
        <xsd:restriction base="dms:Choice">
          <xsd:enumeration value="Collection"/>
          <xsd:enumeration value="Dataset"/>
          <xsd:enumeration value="Event"/>
          <xsd:enumeration value="Image"/>
          <xsd:enumeration value="InteractiveResource"/>
          <xsd:enumeration value="MovingImage"/>
          <xsd:enumeration value="PhysicalObject"/>
          <xsd:enumeration value="Service"/>
          <xsd:enumeration value="Software"/>
          <xsd:enumeration value="Sound"/>
          <xsd:enumeration value="StillImage"/>
          <xsd:enumeration value="Text"/>
        </xsd:restriction>
      </xsd:simpleType>
    </xsd:element>
    <xsd:element name="dcCollection" ma:index="10" nillable="true" ma:displayName="dcCollection" ma:description="A collection is an aggregation of items. The term collection means that the resource is described as a group; its parts may be separately described." ma:format="Dropdown" ma:internalName="dcCollection" ma:readOnly="false">
      <xsd:simpleType>
        <xsd:restriction base="dms:Choice">
          <xsd:enumeration value="Data Flow Diagram"/>
          <xsd:enumeration value="Data Investigation"/>
          <xsd:enumeration value="DMF"/>
          <xsd:enumeration value="Documentation"/>
          <xsd:enumeration value="Installation Media"/>
          <xsd:enumeration value="Invoices"/>
          <xsd:enumeration value="Job Description"/>
          <xsd:enumeration value="License Agreement"/>
          <xsd:enumeration value="Master Services Agreement"/>
          <xsd:enumeration value="Non-Disclosure Agreement"/>
          <xsd:enumeration value="Presentation"/>
          <xsd:enumeration value="Project Plan"/>
          <xsd:enumeration value="Requirements"/>
          <xsd:enumeration value="RR&amp;E Documents"/>
          <xsd:enumeration value="Statement of Work"/>
          <xsd:enumeration value="Time Report"/>
          <xsd:enumeration value="White Paper"/>
          <xsd:enumeration value="Work Product"/>
        </xsd:restriction>
      </xsd:simpleType>
    </xsd:element>
    <xsd:element name="dcIdentifier" ma:index="11" nillable="true" ma:displayName="dcIdentifier" ma:description="An unambiguous reference to the resource within a given context.  Recommended best practice is to identify the resource by means of a string conforming to a formal identification system.  (e.g. all documents of type &quot;invoice&quot; use &quot;invoice #&quot; as their &quot;Identifier&quot;.)" ma:internalName="dcIdentifier" ma:readOnly="false">
      <xsd:simpleType>
        <xsd:restriction base="dms:Text">
          <xsd:maxLength value="255"/>
        </xsd:restriction>
      </xsd:simpleType>
    </xsd:element>
    <xsd:element name="dcDescription" ma:index="12" nillable="true" ma:displayName="dcDescription" ma:description="An account of the content of the resource. Description may include but is not limited to: an abstract, table of contents, reference to a graphical representation of content or a free-text account of the content." ma:internalName="dcDescription" ma:readOnly="fals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dd0856-7b3f-4582-b519-3a4600e12597" elementFormDefault="qualified">
    <xsd:import namespace="http://schemas.microsoft.com/office/2006/documentManagement/types"/>
    <xsd:import namespace="http://schemas.microsoft.com/office/infopath/2007/PartnerControls"/>
    <xsd:element name="j865b86cad73446dbbf8f1a02ecfd540" ma:index="25" nillable="true" ma:displayName="Department_0" ma:hidden="true" ma:internalName="j865b86cad73446dbbf8f1a02ecfd540" ma:readOnly="false">
      <xsd:simpleType>
        <xsd:restriction base="dms:Note"/>
      </xsd:simpleType>
    </xsd:element>
    <xsd:element name="c69c8d4fe4e146be80d1d62ce35736ed" ma:index="27" nillable="true" ma:displayName="Location_0" ma:hidden="true" ma:internalName="c69c8d4fe4e146be80d1d62ce35736ed" ma:readOnly="false">
      <xsd:simpleType>
        <xsd:restriction base="dms:Note"/>
      </xsd:simpleType>
    </xsd:element>
    <xsd:element name="j5589980656645c8af7fcf3e8a1af912" ma:index="28" nillable="true" ma:displayName="RIM Code_0" ma:hidden="true" ma:internalName="j5589980656645c8af7fcf3e8a1af912" ma:readOnly="fals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f78dd5-20ad-4f7b-8ade-18b039b59425" elementFormDefault="qualified">
    <xsd:import namespace="http://schemas.microsoft.com/office/2006/documentManagement/types"/>
    <xsd:import namespace="http://schemas.microsoft.com/office/infopath/2007/PartnerControls"/>
    <xsd:element name="TaxCatchAll" ma:index="26" nillable="true" ma:displayName="Taxonomy Catch All Column" ma:hidden="true" ma:list="{401e7bf2-74ea-46a7-b017-4d1a23b39497}" ma:internalName="TaxCatchAll" ma:showField="CatchAllData" ma:web="ed47ccaa-65be-4c6e-bbde-0ef287eff85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9" ma:displayName="Content Type"/>
        <xsd:element ref="dc:title" minOccurs="0" maxOccurs="1" ma:index="1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cType xmlns="ea9fce4f-2eb5-48f7-9cf8-9f880f5fcac9">InteractiveResource</dcType>
    <c69c8d4fe4e146be80d1d62ce35736ed xmlns="66dd0856-7b3f-4582-b519-3a4600e12597">WICHITA KS|ae0bde6a-20ad-41cb-965b-b88975dc9678</c69c8d4fe4e146be80d1d62ce35736ed>
    <dcSubject xmlns="ea9fce4f-2eb5-48f7-9cf8-9f880f5fcac9">Data Architecture</dcSubject>
    <j5589980656645c8af7fcf3e8a1af912 xmlns="66dd0856-7b3f-4582-b519-3a4600e12597">NON-GOVERNED|72831a27-a68f-4963-8c41-e76aac056200</j5589980656645c8af7fcf3e8a1af912>
    <dcCollection xmlns="ea9fce4f-2eb5-48f7-9cf8-9f880f5fcac9">Data Investigation</dcCollection>
    <PublishingStartDate xmlns="http://schemas.microsoft.com/sharepoint/v3" xsi:nil="true"/>
    <dcRelationship xmlns="ea9fce4f-2eb5-48f7-9cf8-9f880f5fcac9" xsi:nil="true"/>
    <TaxCatchAll xmlns="61f78dd5-20ad-4f7b-8ade-18b039b59425">
      <Value>13</Value>
      <Value>3</Value>
      <Value>7</Value>
    </TaxCatchAll>
    <dcCoverage xmlns="ea9fce4f-2eb5-48f7-9cf8-9f880f5fcac9">IT</dcCoverage>
    <dcRelation xmlns="ea9fce4f-2eb5-48f7-9cf8-9f880f5fcac9" xsi:nil="true"/>
    <dcIdentifier xmlns="ea9fce4f-2eb5-48f7-9cf8-9f880f5fcac9">AnalysisInfaMapXML</dcIdentifier>
    <j865b86cad73446dbbf8f1a02ecfd540 xmlns="66dd0856-7b3f-4582-b519-3a4600e12597">INFORMATION TECHNOLOGY|0b78bd9b-0a37-4f65-bfa7-092a1534512e</j865b86cad73446dbbf8f1a02ecfd540>
    <dcFormat xmlns="ea9fce4f-2eb5-48f7-9cf8-9f880f5fcac9">application/ms-excel</dcFormat>
    <dcDescription xmlns="ea9fce4f-2eb5-48f7-9cf8-9f880f5fcac9">Analizes exported Informatica map XML </dcDescription>
    <PublishingExpirationDate xmlns="http://schemas.microsoft.com/sharepoint/v3" xsi:nil="true"/>
    <dcContributor xmlns="ea9fce4f-2eb5-48f7-9cf8-9f880f5fcac9">Warren Deferbrache</dcContributor>
    <dcPublisher xmlns="ea9fce4f-2eb5-48f7-9cf8-9f880f5fcac9">Data Architecture</dcPublisher>
    <dcTitle xmlns="ea9fce4f-2eb5-48f7-9cf8-9f880f5fcac9">AnalysisInfaMapXML</dcTitle>
  </documentManagement>
</p:properties>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<?xml version="1.0" encoding="utf-8"?>
<?mso-contentType ?>
<FormTemplates xmlns="http://schemas.microsoft.com/sharepoint/v3/contenttype/forms"/>
</file>

<file path=customXml/itemProps1.xml><?xml version="1.0" encoding="utf-8"?>
<ds:datastoreItem xmlns:ds="http://schemas.openxmlformats.org/officeDocument/2006/customXml" ds:itemID="{D9CE48EF-F4BC-4630-9D61-E586D11B0CEE}">
  <ds:schemaRefs/>
</ds:datastoreItem>
</file>

<file path=customXml/itemProps2.xml><?xml version="1.0" encoding="utf-8"?>
<ds:datastoreItem xmlns:ds="http://schemas.openxmlformats.org/officeDocument/2006/customXml" ds:itemID="{3D20AAD4-A44B-453F-BB52-7DD1BD7AAA82}">
  <ds:schemaRefs/>
</ds:datastoreItem>
</file>

<file path=customXml/itemProps3.xml><?xml version="1.0" encoding="utf-8"?>
<ds:datastoreItem xmlns:ds="http://schemas.openxmlformats.org/officeDocument/2006/customXml" ds:itemID="{84DF34F0-CCF5-421D-BA66-B0BE3488DD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ea9fce4f-2eb5-48f7-9cf8-9f880f5fcac9"/>
    <ds:schemaRef ds:uri="66dd0856-7b3f-4582-b519-3a4600e12597"/>
    <ds:schemaRef ds:uri="61f78dd5-20ad-4f7b-8ade-18b039b5942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565FAFC9-9AFC-4041-9A3B-E5CC064073A0}">
  <ds:schemaRefs/>
</ds:datastoreItem>
</file>

<file path=customXml/itemProps5.xml><?xml version="1.0" encoding="utf-8"?>
<ds:datastoreItem xmlns:ds="http://schemas.openxmlformats.org/officeDocument/2006/customXml" ds:itemID="{D32B5B9A-157A-46A2-BB03-757A9ACB5E8F}">
  <ds:schemaRefs/>
</ds:datastoreItem>
</file>

<file path=customXml/itemProps6.xml><?xml version="1.0" encoding="utf-8"?>
<ds:datastoreItem xmlns:ds="http://schemas.openxmlformats.org/officeDocument/2006/customXml" ds:itemID="{2146609E-8DD7-4957-8ACE-ED00D95442B5}">
  <ds:schemaRefs>
    <ds:schemaRef ds:uri="http://schemas.microsoft.com/DataMashup"/>
  </ds:schemaRefs>
</ds:datastoreItem>
</file>

<file path=customXml/itemProps7.xml><?xml version="1.0" encoding="utf-8"?>
<ds:datastoreItem xmlns:ds="http://schemas.openxmlformats.org/officeDocument/2006/customXml" ds:itemID="{87A3C4CD-5DF3-4881-AB71-DA95A9A76EA7}">
  <ds:schemaRefs/>
</ds:datastoreItem>
</file>

<file path=customXml/itemProps8.xml><?xml version="1.0" encoding="utf-8"?>
<ds:datastoreItem xmlns:ds="http://schemas.openxmlformats.org/officeDocument/2006/customXml" ds:itemID="{9B87053C-005E-44ED-A033-0F57A732059D}">
  <ds:schemaRefs/>
</ds:datastoreItem>
</file>

<file path=customXml/itemProps9.xml><?xml version="1.0" encoding="utf-8"?>
<ds:datastoreItem xmlns:ds="http://schemas.openxmlformats.org/officeDocument/2006/customXml" ds:itemID="{A24E886F-605E-4F10-A37B-49B9A8A8927D}">
  <ds:schemaRefs/>
</ds:datastoreItem>
</file>

<file path=customXml/itemProps10.xml><?xml version="1.0" encoding="utf-8"?>
<ds:datastoreItem xmlns:ds="http://schemas.openxmlformats.org/officeDocument/2006/customXml" ds:itemID="{22A3FD5D-ABBE-4966-81B4-3F871BD0D986}">
  <ds:schemaRefs/>
</ds:datastoreItem>
</file>

<file path=customXml/itemProps11.xml><?xml version="1.0" encoding="utf-8"?>
<ds:datastoreItem xmlns:ds="http://schemas.openxmlformats.org/officeDocument/2006/customXml" ds:itemID="{4CAE3589-49CF-411B-987A-2F8F851B1DAE}">
  <ds:schemaRefs/>
</ds:datastoreItem>
</file>

<file path=customXml/itemProps12.xml><?xml version="1.0" encoding="utf-8"?>
<ds:datastoreItem xmlns:ds="http://schemas.openxmlformats.org/officeDocument/2006/customXml" ds:itemID="{F4B4878D-5F2F-4BDA-837B-9B73C9BC1F83}">
  <ds:schemaRefs/>
</ds:datastoreItem>
</file>

<file path=customXml/itemProps13.xml><?xml version="1.0" encoding="utf-8"?>
<ds:datastoreItem xmlns:ds="http://schemas.openxmlformats.org/officeDocument/2006/customXml" ds:itemID="{5B1E3688-7999-4E24-B99D-512B812CBE61}">
  <ds:schemaRefs/>
</ds:datastoreItem>
</file>

<file path=customXml/itemProps14.xml><?xml version="1.0" encoding="utf-8"?>
<ds:datastoreItem xmlns:ds="http://schemas.openxmlformats.org/officeDocument/2006/customXml" ds:itemID="{BE58A1AE-723F-444C-AB69-A8C79381AA05}">
  <ds:schemaRefs/>
</ds:datastoreItem>
</file>

<file path=customXml/itemProps15.xml><?xml version="1.0" encoding="utf-8"?>
<ds:datastoreItem xmlns:ds="http://schemas.openxmlformats.org/officeDocument/2006/customXml" ds:itemID="{F2A3EDDA-28FA-4867-957B-4591F5EBF5AB}">
  <ds:schemaRefs>
    <ds:schemaRef ds:uri="http://purl.org/dc/elements/1.1/"/>
    <ds:schemaRef ds:uri="http://schemas.microsoft.com/sharepoint/v3"/>
    <ds:schemaRef ds:uri="http://www.w3.org/XML/1998/namespace"/>
    <ds:schemaRef ds:uri="http://schemas.microsoft.com/office/2006/metadata/properties"/>
    <ds:schemaRef ds:uri="http://purl.org/dc/terms/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61f78dd5-20ad-4f7b-8ade-18b039b59425"/>
    <ds:schemaRef ds:uri="66dd0856-7b3f-4582-b519-3a4600e12597"/>
    <ds:schemaRef ds:uri="ea9fce4f-2eb5-48f7-9cf8-9f880f5fcac9"/>
  </ds:schemaRefs>
</ds:datastoreItem>
</file>

<file path=customXml/itemProps16.xml><?xml version="1.0" encoding="utf-8"?>
<ds:datastoreItem xmlns:ds="http://schemas.openxmlformats.org/officeDocument/2006/customXml" ds:itemID="{B9A22084-D427-49CD-A8F5-B2FF7FA64E41}">
  <ds:schemaRefs/>
</ds:datastoreItem>
</file>

<file path=customXml/itemProps17.xml><?xml version="1.0" encoding="utf-8"?>
<ds:datastoreItem xmlns:ds="http://schemas.openxmlformats.org/officeDocument/2006/customXml" ds:itemID="{28E473F0-2121-4E72-9831-EB4E8E3FEAE5}">
  <ds:schemaRefs/>
</ds:datastoreItem>
</file>

<file path=customXml/itemProps18.xml><?xml version="1.0" encoding="utf-8"?>
<ds:datastoreItem xmlns:ds="http://schemas.openxmlformats.org/officeDocument/2006/customXml" ds:itemID="{A283A346-DBA2-4163-A8D0-67B8EDFD2842}">
  <ds:schemaRefs/>
</ds:datastoreItem>
</file>

<file path=customXml/itemProps19.xml><?xml version="1.0" encoding="utf-8"?>
<ds:datastoreItem xmlns:ds="http://schemas.openxmlformats.org/officeDocument/2006/customXml" ds:itemID="{60B436F9-11B2-460D-9375-723E41CE110F}">
  <ds:schemaRefs/>
</ds:datastoreItem>
</file>

<file path=customXml/itemProps20.xml><?xml version="1.0" encoding="utf-8"?>
<ds:datastoreItem xmlns:ds="http://schemas.openxmlformats.org/officeDocument/2006/customXml" ds:itemID="{E7917832-07A5-4C6F-9C27-2B8A6D9C444E}">
  <ds:schemaRefs/>
</ds:datastoreItem>
</file>

<file path=customXml/itemProps21.xml><?xml version="1.0" encoding="utf-8"?>
<ds:datastoreItem xmlns:ds="http://schemas.openxmlformats.org/officeDocument/2006/customXml" ds:itemID="{E54C5051-7563-4CD6-BE38-62A660329B2C}">
  <ds:schemaRefs/>
</ds:datastoreItem>
</file>

<file path=customXml/itemProps22.xml><?xml version="1.0" encoding="utf-8"?>
<ds:datastoreItem xmlns:ds="http://schemas.openxmlformats.org/officeDocument/2006/customXml" ds:itemID="{87ED337F-E523-457E-915C-2A2AC9A25CC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</vt:i4>
      </vt:variant>
    </vt:vector>
  </HeadingPairs>
  <TitlesOfParts>
    <vt:vector size="19" baseType="lpstr">
      <vt:lpstr>Dashboard</vt:lpstr>
      <vt:lpstr>MapAnalysis</vt:lpstr>
      <vt:lpstr>Sources</vt:lpstr>
      <vt:lpstr>Targets</vt:lpstr>
      <vt:lpstr>Transformations</vt:lpstr>
      <vt:lpstr>Instances</vt:lpstr>
      <vt:lpstr>Connectors</vt:lpstr>
      <vt:lpstr>SourcesSrc</vt:lpstr>
      <vt:lpstr>TargetsSrc</vt:lpstr>
      <vt:lpstr>Sheet1</vt:lpstr>
      <vt:lpstr>TransformationsSrc</vt:lpstr>
      <vt:lpstr>InstancesSrc</vt:lpstr>
      <vt:lpstr>ConnectorsSrc</vt:lpstr>
      <vt:lpstr>ConnectFromLkup</vt:lpstr>
      <vt:lpstr>ConnectorsAccume</vt:lpstr>
      <vt:lpstr>FolderNameRng</vt:lpstr>
      <vt:lpstr>InstancesAccume</vt:lpstr>
      <vt:lpstr>MapNameLkup</vt:lpstr>
      <vt:lpstr>TransformsAccume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AnalysisInfaMapXML</dc:title>
  <dc:creator>DeFerbrache, Warren</dc:creator>
  <cp:lastModifiedBy>DeFerbrache, Warren</cp:lastModifiedBy>
  <dcterms:created xsi:type="dcterms:W3CDTF">2016-10-18T14:58:31Z</dcterms:created>
  <dcterms:modified xsi:type="dcterms:W3CDTF">2017-07-24T16:11:44Z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0x0101009D0A674C6FFC3F4D9D9F5087553ACF0E</vt:lpwstr>
  </property>
  <property fmtid="{D5CDD505-2E9C-101B-9397-08002B2CF9AE}" pid="3" name="Location">
    <vt:lpwstr>3;#WICHITA KS|ae0bde6a-20ad-41cb-965b-b88975dc9678</vt:lpwstr>
  </property>
  <property fmtid="{D5CDD505-2E9C-101B-9397-08002B2CF9AE}" pid="4" name="RIM Code">
    <vt:lpwstr>13;#NON-GOVERNED|72831a27-a68f-4963-8c41-e76aac056200</vt:lpwstr>
  </property>
  <property fmtid="{D5CDD505-2E9C-101B-9397-08002B2CF9AE}" pid="5" name="Department">
    <vt:lpwstr>7;#INFORMATION TECHNOLOGY|0b78bd9b-0a37-4f65-bfa7-092a1534512e</vt:lpwstr>
  </property>
</Properties>
</file>