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ict0ms134\DEFERBRW\My Documents\Architecture\Data Architecture\Patterns\PatternSelectionWkSheet\"/>
    </mc:Choice>
  </mc:AlternateContent>
  <bookViews>
    <workbookView xWindow="120" yWindow="90" windowWidth="24915" windowHeight="12330" activeTab="2"/>
  </bookViews>
  <sheets>
    <sheet name="Card" sheetId="1" r:id="rId1"/>
    <sheet name="QuestionLkup" sheetId="4" r:id="rId2"/>
    <sheet name="Answer" sheetId="8" r:id="rId3"/>
    <sheet name="SumUp" sheetId="7" r:id="rId4"/>
    <sheet name="Analysis" sheetId="6" r:id="rId5"/>
    <sheet name="ResponseText" sheetId="5" r:id="rId6"/>
    <sheet name="NextQLIFO" sheetId="9" r:id="rId7"/>
    <sheet name="DecisionTree" sheetId="10" r:id="rId8"/>
  </sheets>
  <functionGroups builtInGroupCount="18"/>
  <definedNames>
    <definedName name="AdviceRange">Card[Advice]</definedName>
    <definedName name="AnsLkupByUniqueKey">Answer_Table[[Unique Key]:[Advice]]</definedName>
    <definedName name="Answer_TblLkup">Answer!$A$2:$L$65</definedName>
    <definedName name="AnswerLkup">Table5[#All]</definedName>
    <definedName name="AnswerPgQuestionNum">Answer_Table[Q'#]</definedName>
    <definedName name="AnswerRange">Card[Answers]</definedName>
    <definedName name="AnswerReverseLkup">Table5[[Meaning]:[ValForLkup]]</definedName>
    <definedName name="AnswerTable">Answer_Table[]</definedName>
    <definedName name="CardLkup">Card[[Num]:[Answers]]</definedName>
    <definedName name="CardQuestionLkup">Card[[Questions]:[Answers]]</definedName>
    <definedName name="CurLookupResetRange">Card[CurLookup]</definedName>
    <definedName name="QuestionLkup">Table2[]</definedName>
    <definedName name="QuestionResetRange">Card!$J$4:$J$15</definedName>
    <definedName name="QuestionTable">Table2[]</definedName>
  </definedNames>
  <calcPr calcId="171027"/>
</workbook>
</file>

<file path=xl/calcChain.xml><?xml version="1.0" encoding="utf-8"?>
<calcChain xmlns="http://schemas.openxmlformats.org/spreadsheetml/2006/main">
  <c r="I4" i="1" l="1"/>
  <c r="I5" i="1"/>
  <c r="I6" i="1"/>
  <c r="I7" i="1"/>
  <c r="I8" i="1"/>
  <c r="I9" i="1"/>
  <c r="I10" i="1"/>
  <c r="I11" i="1"/>
  <c r="I12" i="1"/>
  <c r="I13" i="1"/>
  <c r="I14" i="1"/>
  <c r="I15" i="1"/>
  <c r="K4" i="1"/>
  <c r="K5" i="1"/>
  <c r="K6" i="1"/>
  <c r="K7" i="1"/>
  <c r="K8" i="1"/>
  <c r="K9" i="1"/>
  <c r="K10" i="1"/>
  <c r="K11" i="1"/>
  <c r="K12" i="1"/>
  <c r="K13" i="1"/>
  <c r="K14" i="1"/>
  <c r="K15" i="1"/>
  <c r="K3" i="1" l="1"/>
  <c r="B6" i="8" l="1"/>
  <c r="B59" i="8" l="1"/>
  <c r="B60" i="8"/>
  <c r="B61" i="8"/>
  <c r="D59" i="8"/>
  <c r="D60" i="8"/>
  <c r="D61" i="8"/>
  <c r="B15" i="8"/>
  <c r="B16" i="8"/>
  <c r="B17" i="8"/>
  <c r="B18" i="8"/>
  <c r="D15" i="8"/>
  <c r="D16" i="8"/>
  <c r="D17" i="8"/>
  <c r="D18" i="8"/>
  <c r="D12" i="1"/>
  <c r="E12" i="1"/>
  <c r="F12" i="1"/>
  <c r="G12" i="1"/>
  <c r="H12" i="1"/>
  <c r="D13" i="1"/>
  <c r="E13" i="1"/>
  <c r="F13" i="1"/>
  <c r="G13" i="1"/>
  <c r="H13" i="1"/>
  <c r="D14" i="1"/>
  <c r="E14" i="1"/>
  <c r="F14" i="1"/>
  <c r="G14" i="1"/>
  <c r="H14" i="1"/>
  <c r="B33" i="8"/>
  <c r="B34" i="8"/>
  <c r="B35" i="8"/>
  <c r="D33" i="8"/>
  <c r="D34" i="8"/>
  <c r="D35" i="8"/>
  <c r="B55" i="8"/>
  <c r="B56" i="8"/>
  <c r="B57" i="8"/>
  <c r="D55" i="8"/>
  <c r="D56" i="8"/>
  <c r="D57" i="8"/>
  <c r="B46" i="8"/>
  <c r="B47" i="8"/>
  <c r="B48" i="8"/>
  <c r="D46" i="8"/>
  <c r="D47" i="8"/>
  <c r="D48" i="8"/>
  <c r="B45" i="8"/>
  <c r="B42" i="8"/>
  <c r="B43" i="8"/>
  <c r="B44" i="8"/>
  <c r="D42" i="8"/>
  <c r="D43" i="8"/>
  <c r="D44" i="8"/>
  <c r="B29" i="8"/>
  <c r="B30" i="8"/>
  <c r="B31" i="8"/>
  <c r="D29" i="8"/>
  <c r="D30" i="8"/>
  <c r="D31" i="8"/>
  <c r="B25" i="8"/>
  <c r="B26" i="8"/>
  <c r="B27" i="8"/>
  <c r="D25" i="8"/>
  <c r="D26" i="8"/>
  <c r="D27" i="8"/>
  <c r="B50" i="8"/>
  <c r="B51" i="8"/>
  <c r="B52" i="8"/>
  <c r="B53" i="8"/>
  <c r="D50" i="8"/>
  <c r="D51" i="8"/>
  <c r="D52" i="8"/>
  <c r="D53" i="8"/>
  <c r="B37" i="8"/>
  <c r="B38" i="8"/>
  <c r="B39" i="8"/>
  <c r="B40" i="8"/>
  <c r="D37" i="8"/>
  <c r="D38" i="8"/>
  <c r="D39" i="8"/>
  <c r="D40" i="8"/>
  <c r="B20" i="8"/>
  <c r="B21" i="8"/>
  <c r="B22" i="8"/>
  <c r="B23" i="8"/>
  <c r="D20" i="8"/>
  <c r="D21" i="8"/>
  <c r="D22" i="8"/>
  <c r="D23" i="8"/>
  <c r="B11" i="8"/>
  <c r="B12" i="8"/>
  <c r="B13" i="8"/>
  <c r="B14" i="8"/>
  <c r="D11" i="8"/>
  <c r="D12" i="8"/>
  <c r="D13" i="8"/>
  <c r="D14" i="8"/>
  <c r="B7" i="8"/>
  <c r="B8" i="8"/>
  <c r="B9" i="8"/>
  <c r="D7" i="8"/>
  <c r="D8" i="8"/>
  <c r="D9" i="8"/>
  <c r="B3" i="8"/>
  <c r="B4" i="8"/>
  <c r="B5" i="8"/>
  <c r="D3" i="8"/>
  <c r="D4" i="8"/>
  <c r="D5" i="8"/>
  <c r="B62" i="8"/>
  <c r="D62" i="8"/>
  <c r="B63" i="8" l="1"/>
  <c r="D63" i="8"/>
  <c r="D65" i="8" l="1"/>
  <c r="D64" i="8"/>
  <c r="D58" i="8"/>
  <c r="D54" i="8"/>
  <c r="D49" i="8"/>
  <c r="D45" i="8"/>
  <c r="D41" i="8"/>
  <c r="D36" i="8"/>
  <c r="D32" i="8"/>
  <c r="D28" i="8"/>
  <c r="D24" i="8"/>
  <c r="D19" i="8"/>
  <c r="B19" i="8"/>
  <c r="D10" i="8"/>
  <c r="B10" i="8"/>
  <c r="D6" i="8"/>
  <c r="D2" i="8"/>
  <c r="I3" i="1" s="1"/>
  <c r="B2" i="8"/>
  <c r="G5" i="1" l="1"/>
  <c r="F6" i="1"/>
  <c r="E7" i="1"/>
  <c r="D8" i="1"/>
  <c r="H8" i="1"/>
  <c r="G10" i="1"/>
  <c r="F11" i="1"/>
  <c r="G7" i="1"/>
  <c r="D11" i="1"/>
  <c r="D5" i="1"/>
  <c r="H5" i="1"/>
  <c r="G6" i="1"/>
  <c r="F7" i="1"/>
  <c r="E8" i="1"/>
  <c r="D10" i="1"/>
  <c r="H10" i="1"/>
  <c r="G11" i="1"/>
  <c r="E5" i="1"/>
  <c r="D6" i="1"/>
  <c r="F8" i="1"/>
  <c r="H11" i="1"/>
  <c r="F5" i="1"/>
  <c r="E6" i="1"/>
  <c r="D7" i="1"/>
  <c r="H7" i="1"/>
  <c r="G8" i="1"/>
  <c r="F10" i="1"/>
  <c r="E11" i="1"/>
  <c r="H6" i="1"/>
  <c r="E10" i="1"/>
  <c r="F9" i="1"/>
  <c r="G9" i="1"/>
  <c r="H9" i="1"/>
  <c r="E9" i="1"/>
  <c r="D9" i="1"/>
  <c r="F3" i="1"/>
  <c r="E3" i="1"/>
  <c r="G3" i="1"/>
  <c r="H3" i="1"/>
  <c r="D3" i="1"/>
  <c r="D4" i="1"/>
  <c r="H4" i="1"/>
  <c r="E4" i="1"/>
  <c r="F4" i="1"/>
  <c r="G4" i="1"/>
  <c r="B28" i="8" l="1"/>
  <c r="B24" i="8"/>
  <c r="B32" i="8"/>
  <c r="B36" i="8" l="1"/>
  <c r="B41" i="8"/>
  <c r="B49" i="8" l="1"/>
  <c r="B54" i="8" l="1"/>
  <c r="B58" i="8"/>
  <c r="B10" i="7" l="1"/>
  <c r="D2" i="7"/>
  <c r="B11" i="1"/>
  <c r="B4" i="1"/>
  <c r="B64" i="8"/>
  <c r="B5" i="7"/>
  <c r="B9" i="1"/>
  <c r="E9" i="7"/>
  <c r="A5" i="7"/>
  <c r="B7" i="1"/>
  <c r="B9" i="7"/>
  <c r="B15" i="1"/>
  <c r="B13" i="1"/>
  <c r="B65" i="8" l="1"/>
  <c r="A3" i="7"/>
  <c r="B12" i="7"/>
  <c r="A8" i="7"/>
  <c r="E4" i="7"/>
  <c r="D10" i="7"/>
  <c r="A11" i="7"/>
  <c r="B13" i="7"/>
  <c r="D3" i="7"/>
  <c r="B6" i="7"/>
  <c r="D4" i="7"/>
  <c r="C9" i="7"/>
  <c r="E6" i="7"/>
  <c r="D9" i="7"/>
  <c r="E5" i="7"/>
  <c r="B3" i="7"/>
  <c r="B4" i="7"/>
  <c r="C8" i="7"/>
  <c r="A9" i="7"/>
  <c r="A13" i="7"/>
  <c r="E8" i="7"/>
  <c r="C5" i="7"/>
  <c r="E13" i="7"/>
  <c r="A6" i="7"/>
  <c r="B8" i="7"/>
  <c r="D11" i="7"/>
  <c r="C4" i="7"/>
  <c r="A10" i="7"/>
  <c r="E12" i="7"/>
  <c r="D13" i="7"/>
  <c r="B11" i="7"/>
  <c r="C10" i="7"/>
  <c r="D5" i="7"/>
  <c r="D12" i="7"/>
  <c r="E10" i="7"/>
  <c r="C6" i="7"/>
  <c r="D8" i="7"/>
  <c r="C12" i="7"/>
  <c r="E3" i="7"/>
  <c r="A4" i="7"/>
  <c r="E11" i="7"/>
  <c r="C11" i="7"/>
  <c r="C13" i="7"/>
  <c r="C3" i="7"/>
  <c r="D6" i="7"/>
  <c r="E2" i="7"/>
  <c r="B2" i="7"/>
  <c r="B8" i="1"/>
  <c r="B5" i="1"/>
  <c r="B10" i="1"/>
  <c r="C2" i="7"/>
  <c r="B3" i="1"/>
  <c r="A2" i="7"/>
  <c r="B6" i="1"/>
  <c r="B12" i="1"/>
  <c r="B14" i="1"/>
  <c r="A12" i="7"/>
  <c r="B4" i="6" l="1"/>
  <c r="B5" i="6"/>
  <c r="B3" i="6"/>
  <c r="A7" i="7" l="1"/>
  <c r="A14" i="7" s="1"/>
  <c r="D16" i="1" s="1"/>
  <c r="B7" i="7"/>
  <c r="B14" i="7" s="1"/>
  <c r="E16" i="1" s="1"/>
  <c r="C7" i="7" l="1"/>
  <c r="C14" i="7" s="1"/>
  <c r="F16" i="1" s="1"/>
  <c r="D7" i="7"/>
  <c r="D14" i="7" s="1"/>
  <c r="G16" i="1" s="1"/>
  <c r="E7" i="7"/>
  <c r="E14" i="7" s="1"/>
  <c r="H16" i="1" s="1"/>
</calcChain>
</file>

<file path=xl/comments1.xml><?xml version="1.0" encoding="utf-8"?>
<comments xmlns="http://schemas.openxmlformats.org/spreadsheetml/2006/main">
  <authors>
    <author>DeFerbrache, Warren</author>
  </authors>
  <commentList>
    <comment ref="G1" authorId="0" shapeId="0">
      <text>
        <r>
          <rPr>
            <b/>
            <sz val="9"/>
            <color indexed="81"/>
            <rFont val="Tahoma"/>
            <family val="2"/>
          </rPr>
          <t>Application Produced &amp; Consumed</t>
        </r>
      </text>
    </comment>
    <comment ref="H1" authorId="0" shapeId="0">
      <text>
        <r>
          <rPr>
            <b/>
            <sz val="9"/>
            <color indexed="81"/>
            <rFont val="Tahoma"/>
            <family val="2"/>
          </rPr>
          <t>Application Produced and Distributed</t>
        </r>
        <r>
          <rPr>
            <sz val="9"/>
            <color indexed="81"/>
            <rFont val="Tahoma"/>
            <family val="2"/>
          </rPr>
          <t xml:space="preserve">
</t>
        </r>
      </text>
    </comment>
    <comment ref="I1" authorId="0" shapeId="0">
      <text>
        <r>
          <rPr>
            <b/>
            <sz val="9"/>
            <color indexed="81"/>
            <rFont val="Tahoma"/>
            <family val="2"/>
          </rPr>
          <t>Application produced SMF distributed</t>
        </r>
      </text>
    </comment>
    <comment ref="J1" authorId="0" shapeId="0">
      <text>
        <r>
          <rPr>
            <b/>
            <sz val="9"/>
            <color indexed="81"/>
            <rFont val="Tahoma"/>
            <family val="2"/>
          </rPr>
          <t>SMF Produced and distributed</t>
        </r>
      </text>
    </comment>
    <comment ref="K1" authorId="0" shapeId="0">
      <text>
        <r>
          <rPr>
            <b/>
            <sz val="9"/>
            <color indexed="81"/>
            <rFont val="Tahoma"/>
            <family val="2"/>
          </rPr>
          <t>Vendor Provided Distribution Solution</t>
        </r>
      </text>
    </comment>
  </commentList>
</comments>
</file>

<file path=xl/comments2.xml><?xml version="1.0" encoding="utf-8"?>
<comments xmlns="http://schemas.openxmlformats.org/spreadsheetml/2006/main">
  <authors>
    <author>DeFerbrache, Warren</author>
  </authors>
  <commentList>
    <comment ref="A1" authorId="0" shapeId="0">
      <text>
        <r>
          <rPr>
            <b/>
            <sz val="9"/>
            <color indexed="81"/>
            <rFont val="Tahoma"/>
            <family val="2"/>
          </rPr>
          <t>Application Produced &amp; Consumed</t>
        </r>
      </text>
    </comment>
    <comment ref="B1" authorId="0" shapeId="0">
      <text>
        <r>
          <rPr>
            <b/>
            <sz val="9"/>
            <color indexed="81"/>
            <rFont val="Tahoma"/>
            <family val="2"/>
          </rPr>
          <t>Application Produced and Distributed</t>
        </r>
        <r>
          <rPr>
            <sz val="9"/>
            <color indexed="81"/>
            <rFont val="Tahoma"/>
            <family val="2"/>
          </rPr>
          <t xml:space="preserve">
</t>
        </r>
      </text>
    </comment>
    <comment ref="C1" authorId="0" shapeId="0">
      <text>
        <r>
          <rPr>
            <b/>
            <sz val="9"/>
            <color indexed="81"/>
            <rFont val="Tahoma"/>
            <family val="2"/>
          </rPr>
          <t>Application produced SMF distributed</t>
        </r>
      </text>
    </comment>
    <comment ref="D1" authorId="0" shapeId="0">
      <text>
        <r>
          <rPr>
            <b/>
            <sz val="9"/>
            <color indexed="81"/>
            <rFont val="Tahoma"/>
            <family val="2"/>
          </rPr>
          <t>SMF Produced and distributed</t>
        </r>
      </text>
    </comment>
    <comment ref="E1" authorId="0" shapeId="0">
      <text>
        <r>
          <rPr>
            <b/>
            <sz val="9"/>
            <color indexed="81"/>
            <rFont val="Tahoma"/>
            <family val="2"/>
          </rPr>
          <t>Vendor Provided Distribution Solution</t>
        </r>
      </text>
    </comment>
  </commentList>
</comments>
</file>

<file path=xl/comments3.xml><?xml version="1.0" encoding="utf-8"?>
<comments xmlns="http://schemas.openxmlformats.org/spreadsheetml/2006/main">
  <authors>
    <author>DeFerbrache, Warren</author>
  </authors>
  <commentList>
    <comment ref="A4" authorId="0" shapeId="0">
      <text>
        <r>
          <rPr>
            <b/>
            <sz val="9"/>
            <color indexed="9"/>
            <rFont val="Tahoma"/>
            <family val="2"/>
          </rPr>
          <t xml:space="preserve"> </t>
        </r>
        <r>
          <rPr>
            <sz val="9"/>
            <color indexed="9"/>
            <rFont val="Tahoma"/>
            <family val="2"/>
          </rPr>
          <t xml:space="preserve">It is not advisable to mix use by one and use by some or use by all master data   § One approach would be to take the existing part of the master data from the existing producer assuming our specific values can be added.  Then build a producer for the balance of the records.  This can be done but it is complex and may lead to entering data in two places
   § We could also build a producer which serves only our application possibly even injecting the data directly into the application.  This is simpler and may be the way to go if the vast majority of the master data is truly use by one
   § Stop and question, is the use by one and use by some data actually related?  We could split our approach, fill out one worksheet for the use by some and one for the use by one.  This makes the problem easier to understand.
   § Another one, yes the master data is use by one and we will build a producer but BSS will be maintaining the data for us and they want it in the SMF.  Fine then build it there but don't stuff it into the nearest convenient table to save time.  Build a screen and a separate table.
</t>
        </r>
      </text>
    </comment>
  </commentList>
</comments>
</file>

<file path=xl/sharedStrings.xml><?xml version="1.0" encoding="utf-8"?>
<sst xmlns="http://schemas.openxmlformats.org/spreadsheetml/2006/main" count="243" uniqueCount="164">
  <si>
    <t>APSD</t>
  </si>
  <si>
    <t>SPD</t>
  </si>
  <si>
    <t>APC</t>
  </si>
  <si>
    <t>Num</t>
  </si>
  <si>
    <t>Question</t>
  </si>
  <si>
    <t>Consider</t>
  </si>
  <si>
    <t>NA</t>
  </si>
  <si>
    <t>Val</t>
  </si>
  <si>
    <t>Meaning</t>
  </si>
  <si>
    <t>Don't Use</t>
  </si>
  <si>
    <t>Advice</t>
  </si>
  <si>
    <t>Keep Using</t>
  </si>
  <si>
    <t>APD</t>
  </si>
  <si>
    <t>I AM</t>
  </si>
  <si>
    <t>Done</t>
  </si>
  <si>
    <t>No Question</t>
  </si>
  <si>
    <t>Answer</t>
  </si>
  <si>
    <t>Yes</t>
  </si>
  <si>
    <t>Unsure</t>
  </si>
  <si>
    <t>No</t>
  </si>
  <si>
    <t>http://sharepoint.fhr.com/IT/InformationArchitecture/IAMasterDataManagement/MDM%20Wiki/Subject%20Areas.aspx</t>
  </si>
  <si>
    <t>Click to Learn More</t>
  </si>
  <si>
    <t>http://sharepoint.fhr.com/IT/InformationArchitecture/Wiki%20IA/Producers.aspx</t>
  </si>
  <si>
    <t>http://www.projectinsight.net/blogs/project-management-software-implementation-and-user-adoption-tips/building-your-own-vs-buying-commercial-off-the-shelf-software</t>
  </si>
  <si>
    <t>Article - build vs buy</t>
  </si>
  <si>
    <t>http://www.datasciencecentral.com/profiles/blogs/batch-vs-real-time-data-processing</t>
  </si>
  <si>
    <t>Blog - Batch vs Real-time</t>
  </si>
  <si>
    <t>https://www.mountaingoatsoftware.com/blog/multiple-levels-of-done</t>
  </si>
  <si>
    <t>Fun Article - levels of done</t>
  </si>
  <si>
    <t>Does a vendor offer an effective prebuilt interface which could distribute data from a producer to a consumer?</t>
  </si>
  <si>
    <t>Questions</t>
  </si>
  <si>
    <t>VPDS</t>
  </si>
  <si>
    <t>Learn more link description</t>
  </si>
  <si>
    <t>Learn more links</t>
  </si>
  <si>
    <t>http://sharepoint.fhr.com/IT/InformationArchitecture/IAMasterDataManagement/_layouts/listform.aspx?PageType=4&amp;ListId={5B7CEB0C-25C5-4BD6-A77D-8EBF4E722674}&amp;ID=3&amp;RootFolder=*</t>
  </si>
  <si>
    <t>Use by One Scope</t>
  </si>
  <si>
    <t>http://sharepoint.fhr.com/tfssites/BI/MDMSMF/Wiki%20Pages/Home.aspx</t>
  </si>
  <si>
    <t>SMF Operations Site</t>
  </si>
  <si>
    <t>Is real-time consumption of changes to the master data required?</t>
  </si>
  <si>
    <t>Condition</t>
  </si>
  <si>
    <t>Selected Scope</t>
  </si>
  <si>
    <t>Guidance</t>
  </si>
  <si>
    <t>Value</t>
  </si>
  <si>
    <t>Scope selected on the card</t>
  </si>
  <si>
    <t>Seperation of Concerns, Loose coupling</t>
  </si>
  <si>
    <t>Relevant architecture principals</t>
  </si>
  <si>
    <t>Existing Producer &amp; Scope UB1 Paradox</t>
  </si>
  <si>
    <r>
      <t xml:space="preserve">Analysis </t>
    </r>
    <r>
      <rPr>
        <i/>
        <sz val="12"/>
        <color theme="1"/>
        <rFont val="Calibri"/>
        <family val="2"/>
        <scheme val="minor"/>
      </rPr>
      <t>(Review after filling in the card)</t>
    </r>
  </si>
  <si>
    <t>A producer exists and is producing some of the required attributes.  Adding Use by One (UB1) attributes will mix Use by Some (UBSome) attributes with UB1 and may change the responsibilities of the Producer.  When solutioning, separate the UB1 attribute production form UBSome or UBAll.  While possibly more upfront work than glombing onto an existing producer which looks tasty, in the long run it will save technical debt.</t>
  </si>
  <si>
    <t>Real-time is required and a Vendor Distribution Solution is available</t>
  </si>
  <si>
    <t>There may be an opportunity to save a lot of money and time if the vendor solution can fulfill the real-time consumption requirement</t>
  </si>
  <si>
    <t>ValForLkup</t>
  </si>
  <si>
    <t>Score</t>
  </si>
  <si>
    <t>NextQ</t>
  </si>
  <si>
    <t>Unique Key</t>
  </si>
  <si>
    <t>Q#</t>
  </si>
  <si>
    <t>http://sharepoint.fhr.com/IT/InformationArchitecture/IAMasterDataManagement/MDM%20Wiki/Which%20data%20is%20master%20data.aspx</t>
  </si>
  <si>
    <t>Which data is master data?</t>
  </si>
  <si>
    <t>This sheet is  focused on master data work and will not be helpful with say transactional data</t>
  </si>
  <si>
    <t>Not Answered</t>
  </si>
  <si>
    <t xml:space="preserve">Can't find a Producer or not sure how to search for one...Save the work sheet &amp; contact your channel data steward.  Your steward will help you with the question or connect you with other experts who can help.  </t>
  </si>
  <si>
    <t>Keep using the current producer if reasonable.  Collaborate with the Producer to plan the additional production.  Consider consumption, how will the additional data be distributed?</t>
  </si>
  <si>
    <t>A new producer is required.  If however it seems that the identified Producer should in fact produce the additional attributes then attempt to persuade or escalate.  Otherwise a producer will need to be built or acquired.</t>
  </si>
  <si>
    <t>Set to Y if: The current Producer is willing and able to create the required additional master data</t>
  </si>
  <si>
    <t>Keep production and distribution as simple as possible.  Try to keep the master data hidden in an application if possible.  Connect the master data produced with the subject area.  If using the SMF create a separate table.</t>
  </si>
  <si>
    <t>Save the work sheet and contact your channel data steward or person the  steward has designated.  Click the learn more link to the right</t>
  </si>
  <si>
    <t>The new or expanded Producer must  support production for all identified consumers and sign up for possible future expansion.  Identify capable Distributors for the master data also</t>
  </si>
  <si>
    <t xml:space="preserve">Scope is Use by All (UBAll).  Strongly consider the SPD pattern since SMF is normally where this type of data is produced.  </t>
  </si>
  <si>
    <t>Ensure that the vendor solution provides real business value.  Find out what the upgrade cycle is.  Weigh the benefits of using the it against any possible gain provided by having more control over the data.  Avoid chaining.</t>
  </si>
  <si>
    <t>Choose the best pattern based on the other questions as a prebuilt solution is not a factor.</t>
  </si>
  <si>
    <t>Answer Y if:  A vendor provides a prebuilt solution for distributing master data from a non-SMF producer to one or more applications and the solution looks like it will provide large business value.</t>
  </si>
  <si>
    <t xml:space="preserve">This question will only be yes if an application is being purchased or being upgraded which connects to a large provider such as an ERP, market place, government service, Microsoft, Oracle, and so on.  </t>
  </si>
  <si>
    <t>Real-time consumption is an uncommon but doable in FHR, it will require a custom (i.e. expensive) solution if pattern VPDS is not an option. Solid planning will be required.  Consult with Information &amp; Solution Arch.</t>
  </si>
  <si>
    <t xml:space="preserve">Batch distribution is very common in FHR.  Most FHR distributors will suffice. </t>
  </si>
  <si>
    <t>Answer Y if: One or more consumers must consume changes to the master data in real-time or near real-time</t>
  </si>
  <si>
    <t>Work with the users giving requirements to nail down this requirement.  If users do want real-time (who wouldn't), gently probe whether this is a requirement or a nice to have.  Give them a rough estimate of the cost.</t>
  </si>
  <si>
    <t>Answers</t>
  </si>
  <si>
    <t>One (UB1)</t>
  </si>
  <si>
    <t>Some (UBSome)</t>
  </si>
  <si>
    <t>All (UBAll)</t>
  </si>
  <si>
    <t>How much of the master data is already produced today?</t>
  </si>
  <si>
    <t>All of it</t>
  </si>
  <si>
    <t>Some of it</t>
  </si>
  <si>
    <t>None of it</t>
  </si>
  <si>
    <t>What will SMF’s role be for the new master data if any?</t>
  </si>
  <si>
    <t>Prefer</t>
  </si>
  <si>
    <t>No Longer Used</t>
  </si>
  <si>
    <t>CurLookup</t>
  </si>
  <si>
    <t>Continue to fill in the sheet which will help with selecting the appropriate pattern for the master data related work to be accomplished</t>
  </si>
  <si>
    <t>Will master data related items be created such as relationships or cross references?</t>
  </si>
  <si>
    <t>NextQuestion</t>
  </si>
  <si>
    <t>PopPtr</t>
  </si>
  <si>
    <t>NextOpen</t>
  </si>
  <si>
    <t>37*Not Answered</t>
  </si>
  <si>
    <t>Dead End</t>
  </si>
  <si>
    <t>SMF</t>
  </si>
  <si>
    <t>Application</t>
  </si>
  <si>
    <t>You have reached an untenable option, please return to an earlier questions and try a different path</t>
  </si>
  <si>
    <t>Not used don't delete</t>
  </si>
  <si>
    <t>*Pop_16Ans=Both</t>
  </si>
  <si>
    <t>Does SMF or an Application currently produce the data?</t>
  </si>
  <si>
    <t>Will the current work change the usage of the master data to Use by Some?</t>
  </si>
  <si>
    <t>Select the answer which best describes the anticpated usage of the master data</t>
  </si>
  <si>
    <t>Is the Producer application willing &amp; able to provide the high quality additional master data?</t>
  </si>
  <si>
    <t>Does the affected master data fit into a currently defined FHR data Subject Area?</t>
  </si>
  <si>
    <t>Example</t>
  </si>
  <si>
    <t>Answer Yes if: Distribution artifacts will be created which make master data more useful but are not themselves master data.  For example creating a relationship between two master data subjects would be useful but not itself master data</t>
  </si>
  <si>
    <t>http://sharepoint.fhr.com/IT/InformationArchitecture/IAMasterDataManagement/MDM%20Wiki/Things%20which%20make%20master%20data%20more%20useful.aspx?WikiPageMode=Edit&amp;InitialTabId=Ribbon.EditingTools.CPEditTab&amp;VisibilityContext=WSSWikiPage</t>
  </si>
  <si>
    <t>Make master data more useful</t>
  </si>
  <si>
    <t>Click the link to the right and read up on things which make master data more useful.  Will any of these be required during the effort?</t>
  </si>
  <si>
    <t>Consider using the SMF for distribution since it supports some key master data support artifacts.  Vendor applications may also provide some master data management capabilities if SMF will not be used</t>
  </si>
  <si>
    <t>Only master data is being produced, no support artifacts are part of this effort. (Unusual)  Master data rarely stands alone</t>
  </si>
  <si>
    <t xml:space="preserve">If the effort will include master data being produced, distributed and/or consumed then select yes.  Read up on what master data is by clicking on the helpful link to the right.  </t>
  </si>
  <si>
    <t>If unsure whether additional master data will be involved in the effort  please save this sheet and contact your channel data steward.  Review the link to the right to better understand which data is master data.</t>
  </si>
  <si>
    <t>Read about Producers</t>
  </si>
  <si>
    <t>Unsure: Save the work sheet and contact your channel data steward.  Your data steward will help you with the question.  Click the link on the right to learn more about producers</t>
  </si>
  <si>
    <t>Read about Subject Areas</t>
  </si>
  <si>
    <t>Will master data be produced and/or consumed as part of the effort?</t>
  </si>
  <si>
    <t>Select the answer which best describes the current production of the master data which is required for the effort.  'Some of it' will be the most common answer since most efforts add attributes to existing data but this is not always the case</t>
  </si>
  <si>
    <t>Excellent! Confirm that the identified producer of the master data  is the recognized 'source of record'.  Profile the attributes that will be consumed to confirm their quality.  Collaborate with the Producer for best results.</t>
  </si>
  <si>
    <t xml:space="preserve">Keep using the current producer if reasonable since it is usually the path of least effort and most success.  Collaborate with the Producer to add the additional attributes .  </t>
  </si>
  <si>
    <t xml:space="preserve"> A new producer is required: This is a major change and requires solid planning, contact your channel data steward ASAP.  She/he will engage the appropriate resources including information architecture.</t>
  </si>
  <si>
    <t>Unsure: Save the work sheet so you can come back to it later.  Click on the learn more link to read about subject areas the Wiki page to which the link points contains a link to the list of subject areas</t>
  </si>
  <si>
    <t>Great!  The subject area is already recognized by FHR Information Architecture.  This usually means that it is currently available to be consumed somewhere in FHR.  Usually from the SMF (SMF, MFCTRL, CMMF) but there are exceptions</t>
  </si>
  <si>
    <t>Unusual:  A new subject area is required: Work with your channel data steward and information architecture to have the subject areas added.  Review the subject area list (link to the right) and consider what the new area would be called</t>
  </si>
  <si>
    <t>Decision tree the card tab uses</t>
  </si>
  <si>
    <t>http://sharepoint.fhr.com/IT/InformationArchitecture/IAMasterDataManagement/MDM%20Wiki/Scope%20of%20master%20data.aspx</t>
  </si>
  <si>
    <t>Read about Master Data Scope</t>
  </si>
  <si>
    <t>Select the answer which best describes the anticpated usage Scope of the master data after the effort is complete.  Click the link on the right to learn more about Scope</t>
  </si>
  <si>
    <t xml:space="preserve">Click the link to the right to learn more about master data Scope.  Save the work sheet and contact your channel data steward if still unclear how to answer the question.  </t>
  </si>
  <si>
    <t>(Unusual) since all of the data is already being produced, your effort is probably an additional Consumer which would promote the data to Use by Some (UBSome).  UB1 is probably only correct if the current effort is replacing some capability</t>
  </si>
  <si>
    <t>The Producer must  support production for all identified consumers and sign up for possible future expansion.  Leverage the current Distributor if possible</t>
  </si>
  <si>
    <t>A UBAll producer which is currently producting all of the required master data should be able to service an additional Consumer but double check this assumption with the Solution Architects.</t>
  </si>
  <si>
    <t>http://sharepoint.fhr.com/IT/InformationArchitecture/IAMasterDataManagement/MDM%20Wiki/Channel%20Ownership.aspx</t>
  </si>
  <si>
    <t>Read about SMF(SMF, MFCTRL, CMMF)</t>
  </si>
  <si>
    <t>Answer SMF (SMF, MFCTRL, CMMF) is currently Producing all the required master data, otherwise choose Application.  Read more about SMF and its management by clicking the Learn More link to the right</t>
  </si>
  <si>
    <t xml:space="preserve">Peruse the SMF table lisk found on the IA Master Data Management site.  Contact your channel data steward if still confused about where the data is being produced </t>
  </si>
  <si>
    <t>(Usual) SMF is procucing all of the required data.  This is good since SMF is FHR's master data system.  It will be supported into the future so it is the most reliable place from which to source master data</t>
  </si>
  <si>
    <t xml:space="preserve">Since the scope of the master data is UB1 it will be unusual for SMF to be producing it though not impossible.  Select SMF if this is the case, otherwise select Application  </t>
  </si>
  <si>
    <t>At this point Scope is set to Use by One and all of the data to be consumed is already produced.  Consider answers to previous questions and possibly answering the differently.  Contact you channel data steward for help.</t>
  </si>
  <si>
    <t xml:space="preserve">(Exception) SMF is producing all of the required UB1 data which is not recommended.  Guidance is to try to keep UB1 scoped master data close to the application if possible.      </t>
  </si>
  <si>
    <t>Since the scope of the master data is UB1 this indicates that an application is being replaced.  Is this the case?  If not consider changing the previous scope question to UBSome.</t>
  </si>
  <si>
    <t>Normally "UB1" scope in the current context means that an application is being replaced.  If this is not the case answer yes and return to the Scope question above and change its answer to "UBSome" other wise answer no</t>
  </si>
  <si>
    <t>Most likely the Scope question above should have been answered "UBSome" feel free to change it.  If still unsure contact your channel data steward</t>
  </si>
  <si>
    <t>(Unusual)An application which used to consume the data is being replaced and the new applcation will consume the same data</t>
  </si>
  <si>
    <t>(Common) to back out return to the Scope question above and change the scope</t>
  </si>
  <si>
    <t>Read about Scope</t>
  </si>
  <si>
    <t>Select SMF if the master data is currently being produced there otherwise select Application</t>
  </si>
  <si>
    <t xml:space="preserve">SMF will commonly be the right answer but not always.  Check the list of SMF tables found on the IA MDM site.  Profile any tables which look like they would provide the information using EDQ.  </t>
  </si>
  <si>
    <t>(Common) Profile the existing master data to determine its quality.  Work with your channel data steward to plan the production of the needed additional master data attributes or values</t>
  </si>
  <si>
    <t xml:space="preserve">(Unusual)Work with your channel data steward to plan the additional master data attributes or values   leverage the current producer of the master data to produce the additional attributes if fesible.  </t>
  </si>
  <si>
    <t>Read about producers</t>
  </si>
  <si>
    <t>http://sharepoint.fhr.com/IT/InformationArchitecture/IAMasterDataManagement/SitePages/Home.aspx</t>
  </si>
  <si>
    <t>Visit IA Master Data Site</t>
  </si>
  <si>
    <t>You have completed the worksheet.  Don't forget to save it.</t>
  </si>
  <si>
    <t>Keep production and distribution as simple as possible.  Try to keep the master data hidden in an application if possible.  If placing in SMF keep separate from SMF use by all and use by some master data.</t>
  </si>
  <si>
    <t>Answer Yes (common) if: The subject area under which the required master data falls is already listed by Information Architecture.  Click the link to the right to learn more.</t>
  </si>
  <si>
    <t>If all of the required master data is Produced outside the SMF it may still be consummable from the SMF (Pattern APSD).  If this is not the case be careful to place the data where it can easily be accessed by additional consumers</t>
  </si>
  <si>
    <t>Will the additional  master data  be used by one (UB1), some (UBSome), or all consumers (UBAll)?</t>
  </si>
  <si>
    <t>Will the produced master data  be used by one (UB1), some (UBSome), or all consumers (UBAll)?</t>
  </si>
  <si>
    <t>Is the master data  used by one (UB1), some (UBSome), or all Consumers (UBAll)?</t>
  </si>
  <si>
    <r>
      <rPr>
        <b/>
        <sz val="16"/>
        <color rgb="FFFF0000"/>
        <rFont val="Calibri"/>
        <family val="2"/>
        <scheme val="minor"/>
      </rPr>
      <t>Open in Excel won't work in web version</t>
    </r>
    <r>
      <rPr>
        <sz val="11"/>
        <color theme="1"/>
        <rFont val="Calibri"/>
        <family val="2"/>
        <scheme val="minor"/>
      </rPr>
      <t xml:space="preserve">
</t>
    </r>
  </si>
  <si>
    <t>1*Yes</t>
  </si>
  <si>
    <t>2*Not Answered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</si>
</sst>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u/>
      <sz val="11"/>
      <color theme="10"/>
      <name val="Calibri"/>
      <family val="2"/>
      <scheme val="minor"/>
    </font>
    <font>
      <b/>
      <sz val="9"/>
      <color indexed="81"/>
      <name val="Tahoma"/>
      <family val="2"/>
    </font>
    <font>
      <sz val="9"/>
      <color indexed="81"/>
      <name val="Tahoma"/>
      <family val="2"/>
    </font>
    <font>
      <sz val="11"/>
      <color theme="1"/>
      <name val="Calibri"/>
      <family val="2"/>
      <scheme val="minor"/>
    </font>
    <font>
      <sz val="11"/>
      <color theme="0"/>
      <name val="Calibri"/>
      <family val="2"/>
      <scheme val="minor"/>
    </font>
    <font>
      <sz val="16"/>
      <color theme="1"/>
      <name val="Calibri"/>
      <family val="2"/>
      <scheme val="minor"/>
    </font>
    <font>
      <b/>
      <sz val="12"/>
      <name val="Calibri"/>
      <family val="2"/>
      <scheme val="minor"/>
    </font>
    <font>
      <b/>
      <sz val="11"/>
      <color theme="3"/>
      <name val="Calibri"/>
      <family val="2"/>
      <scheme val="minor"/>
    </font>
    <font>
      <sz val="11"/>
      <color rgb="FF006100"/>
      <name val="Calibri"/>
      <family val="2"/>
      <scheme val="minor"/>
    </font>
    <font>
      <b/>
      <u/>
      <sz val="11"/>
      <color theme="10"/>
      <name val="Calibri"/>
      <family val="2"/>
      <scheme val="minor"/>
    </font>
    <font>
      <sz val="11"/>
      <color theme="0" tint="-0.499984740745262"/>
      <name val="Calibri"/>
      <family val="2"/>
      <scheme val="minor"/>
    </font>
    <font>
      <sz val="11"/>
      <color theme="9" tint="-0.499984740745262"/>
      <name val="Calibri"/>
      <family val="2"/>
      <scheme val="minor"/>
    </font>
    <font>
      <i/>
      <sz val="12"/>
      <color theme="1"/>
      <name val="Calibri"/>
      <family val="2"/>
      <scheme val="minor"/>
    </font>
    <font>
      <b/>
      <sz val="9"/>
      <color indexed="9"/>
      <name val="Tahoma"/>
      <family val="2"/>
    </font>
    <font>
      <sz val="9"/>
      <color indexed="9"/>
      <name val="Tahoma"/>
      <family val="2"/>
    </font>
    <font>
      <b/>
      <u/>
      <sz val="11"/>
      <color theme="9" tint="-0.499984740745262"/>
      <name val="Calibri"/>
      <family val="2"/>
      <scheme val="minor"/>
    </font>
    <font>
      <sz val="11"/>
      <color theme="9" tint="0.59999389629810485"/>
      <name val="Calibri"/>
      <family val="2"/>
      <scheme val="minor"/>
    </font>
    <font>
      <sz val="11"/>
      <color theme="5" tint="0.79998168889431442"/>
      <name val="Calibri"/>
      <family val="2"/>
      <scheme val="minor"/>
    </font>
    <font>
      <b/>
      <sz val="11"/>
      <color theme="5" tint="0.79998168889431442"/>
      <name val="Calibri"/>
      <family val="2"/>
      <scheme val="minor"/>
    </font>
    <font>
      <sz val="11"/>
      <color rgb="FF002060"/>
      <name val="Calibri"/>
      <family val="2"/>
      <scheme val="minor"/>
    </font>
    <font>
      <u/>
      <sz val="11"/>
      <color rgb="FF002060"/>
      <name val="Calibri"/>
      <family val="2"/>
      <scheme val="minor"/>
    </font>
    <font>
      <b/>
      <u/>
      <sz val="11"/>
      <color rgb="FF002060"/>
      <name val="Calibri"/>
      <family val="2"/>
      <scheme val="minor"/>
    </font>
    <font>
      <b/>
      <sz val="11"/>
      <color rgb="FF002060"/>
      <name val="Calibri"/>
      <family val="2"/>
      <scheme val="minor"/>
    </font>
    <font>
      <b/>
      <sz val="16"/>
      <color rgb="FFFF0000"/>
      <name val="Calibri"/>
      <family val="2"/>
      <scheme val="minor"/>
    </font>
  </fonts>
  <fills count="20">
    <fill>
      <patternFill patternType="none"/>
    </fill>
    <fill>
      <patternFill patternType="gray125"/>
    </fill>
    <fill>
      <patternFill patternType="solid">
        <fgColor theme="4"/>
      </patternFill>
    </fill>
    <fill>
      <patternFill patternType="solid">
        <fgColor theme="4" tint="0.59999389629810485"/>
        <bgColor indexed="65"/>
      </patternFill>
    </fill>
    <fill>
      <patternFill patternType="solid">
        <fgColor theme="0"/>
        <bgColor indexed="64"/>
      </patternFill>
    </fill>
    <fill>
      <patternFill patternType="solid">
        <fgColor rgb="FFC6EFCE"/>
      </patternFill>
    </fill>
    <fill>
      <patternFill patternType="solid">
        <fgColor theme="9" tint="-0.499984740745262"/>
        <bgColor indexed="64"/>
      </patternFill>
    </fill>
    <fill>
      <patternFill patternType="solid">
        <fgColor theme="8" tint="0.79998168889431442"/>
        <bgColor indexed="65"/>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patternFill>
    </fill>
    <fill>
      <patternFill patternType="solid">
        <fgColor theme="4" tint="0.79998168889431442"/>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5" tint="-0.499984740745262"/>
        <bgColor indexed="64"/>
      </patternFill>
    </fill>
    <fill>
      <patternFill patternType="solid">
        <fgColor theme="4"/>
        <bgColor indexed="64"/>
      </patternFill>
    </fill>
    <fill>
      <patternFill patternType="solid">
        <fgColor theme="3" tint="0.79998168889431442"/>
        <bgColor indexed="64"/>
      </patternFill>
    </fill>
    <fill>
      <patternFill patternType="solid">
        <fgColor theme="3"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top/>
      <bottom style="medium">
        <color theme="4" tint="0.39997558519241921"/>
      </bottom>
      <diagonal/>
    </border>
    <border>
      <left/>
      <right/>
      <top style="thin">
        <color indexed="64"/>
      </top>
      <bottom style="thin">
        <color indexed="64"/>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indexed="64"/>
      </left>
      <right style="thin">
        <color theme="1"/>
      </right>
      <top/>
      <bottom style="thin">
        <color indexed="64"/>
      </bottom>
      <diagonal/>
    </border>
    <border>
      <left style="thin">
        <color indexed="64"/>
      </left>
      <right style="thin">
        <color theme="1"/>
      </right>
      <top style="thin">
        <color auto="1"/>
      </top>
      <bottom style="thin">
        <color indexed="6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s>
  <cellStyleXfs count="8">
    <xf numFmtId="0" fontId="0" fillId="0" borderId="0"/>
    <xf numFmtId="0" fontId="1" fillId="0" borderId="0" applyNumberFormat="0" applyFill="0" applyBorder="0" applyAlignment="0" applyProtection="0"/>
    <xf numFmtId="0" fontId="5" fillId="2" borderId="0" applyNumberFormat="0" applyBorder="0" applyAlignment="0" applyProtection="0"/>
    <xf numFmtId="0" fontId="4" fillId="3" borderId="0" applyNumberFormat="0" applyBorder="0" applyAlignment="0" applyProtection="0"/>
    <xf numFmtId="0" fontId="8" fillId="0" borderId="0" applyNumberFormat="0" applyFill="0" applyBorder="0" applyAlignment="0" applyProtection="0"/>
    <xf numFmtId="0" fontId="9" fillId="5" borderId="0" applyNumberFormat="0" applyBorder="0" applyAlignment="0" applyProtection="0"/>
    <xf numFmtId="0" fontId="4" fillId="7" borderId="0" applyNumberFormat="0" applyBorder="0" applyAlignment="0" applyProtection="0"/>
    <xf numFmtId="0" fontId="5" fillId="11" borderId="0" applyNumberFormat="0" applyBorder="0" applyAlignment="0" applyProtection="0"/>
  </cellStyleXfs>
  <cellXfs count="80">
    <xf numFmtId="0" fontId="0" fillId="0" borderId="0" xfId="0"/>
    <xf numFmtId="0" fontId="6" fillId="0" borderId="0" xfId="0" applyFont="1"/>
    <xf numFmtId="0" fontId="8" fillId="0" borderId="0" xfId="4" applyFill="1" applyBorder="1" applyAlignment="1">
      <alignment wrapText="1"/>
    </xf>
    <xf numFmtId="0" fontId="0" fillId="0" borderId="0" xfId="0" applyAlignment="1">
      <alignment wrapText="1"/>
    </xf>
    <xf numFmtId="0" fontId="1" fillId="0" borderId="0" xfId="1" applyAlignment="1">
      <alignment wrapText="1"/>
    </xf>
    <xf numFmtId="0" fontId="0" fillId="0" borderId="0" xfId="0" applyAlignment="1">
      <alignment horizontal="center" wrapText="1"/>
    </xf>
    <xf numFmtId="0" fontId="9" fillId="5" borderId="0" xfId="5" applyAlignment="1">
      <alignment wrapText="1"/>
    </xf>
    <xf numFmtId="0" fontId="0" fillId="0" borderId="0" xfId="0" applyAlignment="1">
      <alignment horizontal="center" vertical="center"/>
    </xf>
    <xf numFmtId="0" fontId="0" fillId="0" borderId="0" xfId="0" applyAlignment="1">
      <alignment vertical="center" wrapText="1"/>
    </xf>
    <xf numFmtId="0" fontId="11" fillId="8" borderId="0" xfId="0" applyFont="1" applyFill="1" applyAlignment="1">
      <alignment horizontal="center" vertical="center" wrapText="1"/>
    </xf>
    <xf numFmtId="0" fontId="11" fillId="8" borderId="0" xfId="0" applyFont="1" applyFill="1" applyAlignment="1">
      <alignment wrapText="1"/>
    </xf>
    <xf numFmtId="0" fontId="11" fillId="8" borderId="0" xfId="0" applyFont="1" applyFill="1" applyAlignment="1">
      <alignment horizontal="center" wrapText="1"/>
    </xf>
    <xf numFmtId="0" fontId="0" fillId="9" borderId="10" xfId="0" applyFont="1" applyFill="1" applyBorder="1"/>
    <xf numFmtId="0" fontId="0" fillId="10" borderId="10" xfId="0" applyFont="1" applyFill="1" applyBorder="1"/>
    <xf numFmtId="0" fontId="0" fillId="10" borderId="11" xfId="0" applyFont="1" applyFill="1" applyBorder="1"/>
    <xf numFmtId="0" fontId="10" fillId="0" borderId="2" xfId="1" applyFont="1" applyBorder="1"/>
    <xf numFmtId="0" fontId="10" fillId="0" borderId="12" xfId="1" applyFont="1" applyBorder="1"/>
    <xf numFmtId="0" fontId="16" fillId="13" borderId="1" xfId="1" applyFont="1" applyFill="1" applyBorder="1" applyAlignment="1">
      <alignment wrapText="1"/>
    </xf>
    <xf numFmtId="0" fontId="16" fillId="13" borderId="13" xfId="1" applyFont="1" applyFill="1" applyBorder="1" applyAlignment="1">
      <alignment wrapText="1"/>
    </xf>
    <xf numFmtId="0" fontId="10" fillId="12" borderId="1" xfId="1" applyFont="1" applyFill="1" applyBorder="1" applyAlignment="1">
      <alignment wrapText="1"/>
    </xf>
    <xf numFmtId="0" fontId="0" fillId="14" borderId="0" xfId="0" applyFill="1" applyAlignment="1">
      <alignment wrapText="1"/>
    </xf>
    <xf numFmtId="0" fontId="0" fillId="15" borderId="0" xfId="0" applyFill="1" applyAlignment="1">
      <alignment wrapText="1"/>
    </xf>
    <xf numFmtId="0" fontId="8" fillId="0" borderId="0" xfId="4" applyFill="1" applyBorder="1" applyAlignment="1">
      <alignment wrapText="1"/>
    </xf>
    <xf numFmtId="0" fontId="0" fillId="0" borderId="0" xfId="0" applyAlignment="1">
      <alignment wrapText="1"/>
    </xf>
    <xf numFmtId="0" fontId="0" fillId="0" borderId="0" xfId="0"/>
    <xf numFmtId="0" fontId="0" fillId="0" borderId="0" xfId="0" applyAlignment="1">
      <alignment wrapText="1"/>
    </xf>
    <xf numFmtId="0" fontId="9" fillId="5" borderId="0" xfId="5" applyAlignment="1">
      <alignment wrapText="1"/>
    </xf>
    <xf numFmtId="0" fontId="17" fillId="6" borderId="2" xfId="0" applyFont="1" applyFill="1" applyBorder="1"/>
    <xf numFmtId="0" fontId="12" fillId="0" borderId="2" xfId="0" applyFont="1" applyFill="1" applyBorder="1"/>
    <xf numFmtId="0" fontId="18" fillId="16" borderId="0" xfId="0" applyFont="1" applyFill="1" applyAlignment="1">
      <alignment wrapText="1"/>
    </xf>
    <xf numFmtId="0" fontId="19" fillId="16" borderId="0" xfId="4" applyFont="1" applyFill="1" applyAlignment="1">
      <alignment wrapText="1"/>
    </xf>
    <xf numFmtId="0" fontId="0" fillId="17" borderId="0" xfId="0" applyFill="1" applyAlignment="1">
      <alignment wrapText="1"/>
    </xf>
    <xf numFmtId="0" fontId="19" fillId="16" borderId="0" xfId="4" applyFont="1" applyFill="1"/>
    <xf numFmtId="0" fontId="0" fillId="0" borderId="0" xfId="0"/>
    <xf numFmtId="0" fontId="0" fillId="0" borderId="0" xfId="0" applyAlignment="1">
      <alignment wrapText="1"/>
    </xf>
    <xf numFmtId="0" fontId="0" fillId="14" borderId="0" xfId="0" applyFill="1" applyAlignment="1">
      <alignment wrapText="1"/>
    </xf>
    <xf numFmtId="0" fontId="0" fillId="15" borderId="0" xfId="0" applyFill="1" applyAlignment="1">
      <alignment wrapText="1"/>
    </xf>
    <xf numFmtId="0" fontId="0" fillId="0" borderId="0" xfId="0"/>
    <xf numFmtId="0" fontId="8" fillId="0" borderId="0" xfId="4" applyFill="1" applyBorder="1" applyAlignment="1">
      <alignment wrapText="1"/>
    </xf>
    <xf numFmtId="0" fontId="0" fillId="0" borderId="0" xfId="0" applyAlignment="1">
      <alignment wrapText="1"/>
    </xf>
    <xf numFmtId="0" fontId="1" fillId="0" borderId="0" xfId="1" applyAlignment="1">
      <alignment wrapText="1"/>
    </xf>
    <xf numFmtId="0" fontId="0" fillId="14" borderId="0" xfId="0" applyFill="1" applyAlignment="1">
      <alignment wrapText="1"/>
    </xf>
    <xf numFmtId="0" fontId="0" fillId="15" borderId="0" xfId="0" applyFill="1" applyAlignment="1">
      <alignment wrapText="1"/>
    </xf>
    <xf numFmtId="49" fontId="20" fillId="18" borderId="1" xfId="3" applyNumberFormat="1" applyFont="1" applyFill="1" applyBorder="1"/>
    <xf numFmtId="49" fontId="20" fillId="18" borderId="1" xfId="3" applyNumberFormat="1" applyFont="1" applyFill="1" applyBorder="1" applyAlignment="1">
      <alignment horizontal="center"/>
    </xf>
    <xf numFmtId="0" fontId="20" fillId="18" borderId="6" xfId="0" applyFont="1" applyFill="1" applyBorder="1" applyAlignment="1">
      <alignment horizontal="center"/>
    </xf>
    <xf numFmtId="0" fontId="21" fillId="18" borderId="2" xfId="1" applyFont="1" applyFill="1" applyBorder="1" applyAlignment="1">
      <alignment horizontal="center"/>
    </xf>
    <xf numFmtId="0" fontId="21" fillId="18" borderId="3" xfId="1" applyFont="1" applyFill="1" applyBorder="1" applyAlignment="1">
      <alignment horizontal="center"/>
    </xf>
    <xf numFmtId="0" fontId="20" fillId="18" borderId="3" xfId="1" applyFont="1" applyFill="1" applyBorder="1" applyAlignment="1">
      <alignment horizontal="center"/>
    </xf>
    <xf numFmtId="0" fontId="20" fillId="18" borderId="4" xfId="6" applyFont="1" applyFill="1" applyBorder="1"/>
    <xf numFmtId="0" fontId="20" fillId="18" borderId="8" xfId="6" applyFont="1" applyFill="1" applyBorder="1" applyAlignment="1">
      <alignment wrapText="1"/>
    </xf>
    <xf numFmtId="49" fontId="20" fillId="18" borderId="1" xfId="3" applyNumberFormat="1" applyFont="1" applyFill="1" applyBorder="1" applyAlignment="1">
      <alignment vertical="center"/>
    </xf>
    <xf numFmtId="0" fontId="20" fillId="18" borderId="4" xfId="0" applyFont="1" applyFill="1" applyBorder="1" applyAlignment="1">
      <alignment wrapText="1"/>
    </xf>
    <xf numFmtId="0" fontId="20" fillId="18" borderId="3" xfId="0" applyNumberFormat="1" applyFont="1" applyFill="1" applyBorder="1" applyAlignment="1">
      <alignment wrapText="1"/>
    </xf>
    <xf numFmtId="0" fontId="20" fillId="18" borderId="5" xfId="6" applyFont="1" applyFill="1" applyBorder="1"/>
    <xf numFmtId="0" fontId="20" fillId="18" borderId="9" xfId="6" applyFont="1" applyFill="1" applyBorder="1"/>
    <xf numFmtId="0" fontId="20" fillId="18" borderId="0" xfId="6" applyFont="1" applyFill="1" applyBorder="1" applyAlignment="1">
      <alignment wrapText="1"/>
    </xf>
    <xf numFmtId="49" fontId="20" fillId="18" borderId="14" xfId="3" applyNumberFormat="1" applyFont="1" applyFill="1" applyBorder="1" applyAlignment="1">
      <alignment vertical="center"/>
    </xf>
    <xf numFmtId="0" fontId="20" fillId="18" borderId="0" xfId="0" applyFont="1" applyFill="1"/>
    <xf numFmtId="1" fontId="23" fillId="18" borderId="1" xfId="7" applyNumberFormat="1" applyFont="1" applyFill="1" applyBorder="1"/>
    <xf numFmtId="0" fontId="20" fillId="18" borderId="1" xfId="7" applyFont="1" applyFill="1" applyBorder="1"/>
    <xf numFmtId="0" fontId="20" fillId="8" borderId="4" xfId="0" applyFont="1" applyFill="1" applyBorder="1" applyAlignment="1">
      <alignment wrapText="1"/>
    </xf>
    <xf numFmtId="0" fontId="20" fillId="12" borderId="2" xfId="0" applyFont="1" applyFill="1" applyBorder="1"/>
    <xf numFmtId="0" fontId="21" fillId="12" borderId="0" xfId="1" applyFont="1" applyFill="1" applyAlignment="1">
      <alignment wrapText="1"/>
    </xf>
    <xf numFmtId="0" fontId="20" fillId="12" borderId="1" xfId="7" applyFont="1" applyFill="1" applyBorder="1"/>
    <xf numFmtId="0" fontId="17" fillId="18" borderId="1" xfId="7" applyFont="1" applyFill="1" applyBorder="1"/>
    <xf numFmtId="0" fontId="22" fillId="19" borderId="1" xfId="1" applyFont="1" applyFill="1" applyBorder="1" applyAlignment="1">
      <alignment horizontal="center"/>
    </xf>
    <xf numFmtId="1" fontId="23" fillId="19" borderId="1" xfId="7" applyNumberFormat="1" applyFont="1" applyFill="1" applyBorder="1"/>
    <xf numFmtId="0" fontId="20" fillId="19" borderId="8" xfId="6" applyFont="1" applyFill="1" applyBorder="1" applyAlignment="1">
      <alignment wrapText="1"/>
    </xf>
    <xf numFmtId="49" fontId="20" fillId="19" borderId="1" xfId="3" applyNumberFormat="1" applyFont="1" applyFill="1" applyBorder="1" applyAlignment="1">
      <alignment vertical="center"/>
    </xf>
    <xf numFmtId="0" fontId="20" fillId="19" borderId="4" xfId="0" applyFont="1" applyFill="1" applyBorder="1" applyAlignment="1">
      <alignment wrapText="1"/>
    </xf>
    <xf numFmtId="0" fontId="20" fillId="19" borderId="3" xfId="0" applyNumberFormat="1" applyFont="1" applyFill="1" applyBorder="1" applyAlignment="1">
      <alignment wrapText="1"/>
    </xf>
    <xf numFmtId="0" fontId="0" fillId="19" borderId="0" xfId="0" applyFill="1"/>
    <xf numFmtId="0" fontId="21" fillId="19" borderId="0" xfId="1" applyFont="1" applyFill="1" applyAlignment="1">
      <alignment wrapText="1"/>
    </xf>
    <xf numFmtId="0" fontId="0" fillId="0" borderId="0" xfId="0" applyAlignment="1">
      <alignment vertical="top" wrapText="1"/>
    </xf>
    <xf numFmtId="0" fontId="6" fillId="0" borderId="0" xfId="0" applyFont="1" applyAlignment="1">
      <alignment horizontal="center"/>
    </xf>
    <xf numFmtId="0" fontId="7" fillId="4" borderId="7" xfId="2" applyFont="1" applyFill="1" applyBorder="1" applyAlignment="1">
      <alignment horizontal="center" wrapText="1"/>
    </xf>
    <xf numFmtId="0" fontId="7" fillId="4" borderId="0" xfId="2" applyFont="1" applyFill="1" applyBorder="1" applyAlignment="1">
      <alignment horizontal="center" wrapText="1"/>
    </xf>
    <xf numFmtId="0" fontId="23" fillId="18" borderId="15" xfId="7" applyFont="1" applyFill="1" applyBorder="1" applyAlignment="1">
      <alignment horizontal="right"/>
    </xf>
    <xf numFmtId="0" fontId="23" fillId="18" borderId="4" xfId="7" applyFont="1" applyFill="1" applyBorder="1" applyAlignment="1">
      <alignment horizontal="right"/>
    </xf>
  </cellXfs>
  <cellStyles count="8">
    <cellStyle name="20% - Accent5" xfId="6" builtinId="46"/>
    <cellStyle name="40% - Accent1" xfId="3" builtinId="31"/>
    <cellStyle name="Accent1" xfId="2" builtinId="29"/>
    <cellStyle name="Accent6" xfId="7" builtinId="49"/>
    <cellStyle name="Good" xfId="5" builtinId="26"/>
    <cellStyle name="Heading 4" xfId="4" builtinId="19"/>
    <cellStyle name="Hyperlink" xfId="1" builtinId="8"/>
    <cellStyle name="Normal" xfId="0" builtinId="0"/>
  </cellStyles>
  <dxfs count="67">
    <dxf>
      <font>
        <b val="0"/>
        <i val="0"/>
        <strike val="0"/>
        <condense val="0"/>
        <extend val="0"/>
        <outline val="0"/>
        <shadow val="0"/>
        <u val="none"/>
        <vertAlign val="baseline"/>
        <sz val="11"/>
        <color theme="1"/>
        <name val="Calibri"/>
        <scheme val="minor"/>
      </font>
      <fill>
        <patternFill patternType="solid">
          <fgColor theme="6" tint="0.79998168889431442"/>
          <bgColor theme="6" tint="0.79998168889431442"/>
        </patternFill>
      </fill>
      <border diagonalUp="0" diagonalDown="0">
        <left/>
        <right style="thin">
          <color theme="0"/>
        </right>
        <top style="thin">
          <color theme="0"/>
        </top>
        <bottom style="thin">
          <color theme="0"/>
        </bottom>
        <vertical/>
        <horizontal/>
      </border>
    </dxf>
    <dxf>
      <alignment vertical="bottom" textRotation="0" wrapText="1" justifyLastLine="0" shrinkToFit="0" readingOrder="0"/>
    </dxf>
    <dxf>
      <alignment vertical="bottom" textRotation="0" wrapText="1" justifyLastLine="0" shrinkToFit="0" readingOrder="0"/>
    </dxf>
    <dxf>
      <alignment vertical="bottom" textRotation="0" wrapText="1"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color theme="5" tint="-0.499984740745262"/>
      </font>
      <fill>
        <patternFill>
          <bgColor theme="5" tint="0.59996337778862885"/>
        </patternFill>
      </fill>
    </dxf>
    <dxf>
      <font>
        <color rgb="FF9C0006"/>
      </font>
      <fill>
        <patternFill>
          <bgColor rgb="FFFFC7CE"/>
        </patternFill>
      </fill>
    </dxf>
    <dxf>
      <border outline="0">
        <top style="thin">
          <color auto="1"/>
        </top>
      </border>
    </dxf>
    <dxf>
      <border outline="0">
        <bottom style="thin">
          <color indexed="64"/>
        </bottom>
      </border>
    </dxf>
    <dxf>
      <font>
        <b/>
        <i val="0"/>
        <strike val="0"/>
        <condense val="0"/>
        <extend val="0"/>
        <outline val="0"/>
        <shadow val="0"/>
        <u/>
        <vertAlign val="baseline"/>
        <sz val="11"/>
        <color theme="10"/>
        <name val="Calibri"/>
        <scheme val="minor"/>
      </font>
      <border diagonalUp="0" diagonalDown="0" outline="0">
        <left style="thin">
          <color indexed="64"/>
        </left>
        <right style="thin">
          <color indexed="64"/>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solid">
          <fgColor indexed="64"/>
          <bgColor theme="4" tint="-0.249977111117893"/>
        </patternFill>
      </fill>
      <alignment horizontal="general" vertical="bottom" textRotation="0" wrapText="1" indent="0" justifyLastLine="0" shrinkToFit="0" readingOrder="0"/>
    </dxf>
    <dxf>
      <fill>
        <patternFill>
          <fgColor indexed="64"/>
          <bgColor theme="4"/>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solid">
          <fgColor indexed="64"/>
          <bgColor theme="4" tint="0.59999389629810485"/>
        </patternFill>
      </fill>
      <alignment horizontal="general" vertical="bottom" textRotation="0" wrapText="1" indent="0" justifyLastLine="0" shrinkToFit="0" readingOrder="0"/>
    </dxf>
    <dxf>
      <fill>
        <patternFill patternType="solid">
          <fgColor indexed="64"/>
          <bgColor theme="4" tint="0.59999389629810485"/>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color rgb="FF002060"/>
        <name val="Calibri"/>
        <scheme val="minor"/>
      </font>
      <fill>
        <patternFill patternType="solid">
          <fgColor indexed="64"/>
          <bgColor theme="4" tint="0.79998168889431442"/>
        </patternFill>
      </fill>
      <alignment horizontal="general" vertical="bottom" textRotation="0" wrapText="1" indent="0" justifyLastLine="0" shrinkToFit="0" readingOrder="0"/>
    </dxf>
    <dxf>
      <font>
        <strike val="0"/>
        <outline val="0"/>
        <shadow val="0"/>
        <u val="none"/>
        <vertAlign val="baseline"/>
        <sz val="11"/>
        <color rgb="FF002060"/>
        <name val="Calibri"/>
        <scheme val="minor"/>
      </font>
      <numFmt numFmtId="0" formatCode="General"/>
      <fill>
        <patternFill patternType="solid">
          <fgColor indexed="64"/>
          <bgColor theme="3" tint="0.79998168889431442"/>
        </patternFill>
      </fill>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vertAlign val="baseline"/>
        <sz val="11"/>
        <color rgb="FF002060"/>
        <name val="Calibri"/>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outline="0">
        <left/>
        <right style="thin">
          <color indexed="64"/>
        </right>
        <top style="thin">
          <color indexed="64"/>
        </top>
        <bottom style="thin">
          <color indexed="64"/>
        </bottom>
      </border>
    </dxf>
    <dxf>
      <font>
        <strike val="0"/>
        <outline val="0"/>
        <shadow val="0"/>
        <vertAlign val="baseline"/>
        <sz val="11"/>
        <color rgb="FF002060"/>
        <name val="Calibri"/>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vertAlign val="baseline"/>
        <sz val="11"/>
        <color rgb="FF002060"/>
        <name val="Calibri"/>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rgb="FF002060"/>
        <name val="Calibri"/>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outline="0">
        <left/>
        <right style="thin">
          <color indexed="64"/>
        </right>
        <top style="thin">
          <color indexed="64"/>
        </top>
        <bottom style="thin">
          <color indexed="64"/>
        </bottom>
      </border>
    </dxf>
    <dxf>
      <font>
        <strike val="0"/>
        <outline val="0"/>
        <shadow val="0"/>
        <vertAlign val="baseline"/>
        <sz val="11"/>
        <color rgb="FF002060"/>
        <name val="Calibri"/>
        <scheme val="minor"/>
      </font>
      <numFmt numFmtId="30" formatCode="@"/>
      <fill>
        <patternFill patternType="solid">
          <fgColor indexed="64"/>
          <bgColor theme="3"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2060"/>
        <name val="Calibri"/>
        <scheme val="minor"/>
      </font>
      <fill>
        <patternFill patternType="solid">
          <fgColor indexed="64"/>
          <bgColor theme="3" tint="0.79998168889431442"/>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1"/>
        <color rgb="FF002060"/>
        <name val="Calibri"/>
        <scheme val="minor"/>
      </font>
      <fill>
        <patternFill patternType="solid">
          <fgColor indexed="64"/>
          <bgColor theme="3" tint="0.79998168889431442"/>
        </patternFill>
      </fill>
      <border outline="0">
        <right style="thin">
          <color indexed="64"/>
        </right>
      </border>
    </dxf>
    <dxf>
      <font>
        <strike val="0"/>
        <outline val="0"/>
        <shadow val="0"/>
        <u val="none"/>
        <vertAlign val="baseline"/>
        <sz val="11"/>
        <color rgb="FF002060"/>
        <name val="Calibri"/>
        <scheme val="minor"/>
      </font>
      <fill>
        <patternFill patternType="solid">
          <fgColor indexed="64"/>
          <bgColor theme="3" tint="0.79998168889431442"/>
        </patternFill>
      </fill>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theme="0" tint="-0.499984740745262"/>
      </font>
      <fill>
        <patternFill>
          <bgColor theme="0" tint="-0.499984740745262"/>
        </patternFill>
      </fill>
    </dxf>
    <dxf>
      <font>
        <color theme="6" tint="0.79998168889431442"/>
      </font>
      <fill>
        <patternFill>
          <bgColor theme="6"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rgb="FF006100"/>
      </font>
      <fill>
        <patternFill>
          <bgColor rgb="FFC6EFCE"/>
        </patternFill>
      </fill>
    </dxf>
    <dxf>
      <font>
        <color rgb="FFFFEB9C"/>
      </font>
      <fill>
        <patternFill>
          <bgColor rgb="FF8A7000"/>
        </patternFill>
      </fill>
    </dxf>
    <dxf>
      <font>
        <color theme="0" tint="-0.499984740745262"/>
      </font>
      <fill>
        <patternFill>
          <bgColor theme="0" tint="-0.499984740745262"/>
        </patternFill>
      </fill>
    </dxf>
    <dxf>
      <font>
        <color theme="6" tint="-0.499984740745262"/>
      </font>
      <fill>
        <patternFill>
          <bgColor theme="6" tint="0.79998168889431442"/>
        </patternFill>
      </fill>
    </dxf>
    <dxf>
      <font>
        <color theme="0" tint="-0.499984740745262"/>
      </font>
      <fill>
        <patternFill>
          <bgColor theme="0" tint="-0.49998474074526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theme="6" tint="0.79998168889431442"/>
      </font>
      <fill>
        <patternFill>
          <bgColor theme="6" tint="-0.499984740745262"/>
        </patternFill>
      </fill>
    </dxf>
    <dxf>
      <font>
        <color rgb="FF006100"/>
      </font>
      <fill>
        <patternFill>
          <fgColor auto="1"/>
          <bgColor rgb="FFC6EFCE"/>
        </patternFill>
      </fill>
    </dxf>
    <dxf>
      <font>
        <color theme="9" tint="-0.499984740745262"/>
      </font>
      <fill>
        <patternFill>
          <bgColor theme="9" tint="0.79998168889431442"/>
        </patternFill>
      </fill>
    </dxf>
    <dxf>
      <font>
        <color theme="0" tint="-0.499984740745262"/>
      </font>
      <fill>
        <patternFill>
          <bgColor theme="0" tint="-0.499984740745262"/>
        </patternFill>
      </fill>
    </dxf>
    <dxf>
      <font>
        <color theme="6" tint="-0.499984740745262"/>
      </font>
      <fill>
        <patternFill>
          <bgColor theme="6" tint="0.79998168889431442"/>
        </patternFill>
      </fill>
    </dxf>
    <dxf>
      <font>
        <color rgb="FF006100"/>
      </font>
      <fill>
        <patternFill>
          <bgColor rgb="FFC6EFCE"/>
        </patternFill>
      </fill>
    </dxf>
    <dxf>
      <font>
        <color theme="6" tint="0.79998168889431442"/>
      </font>
      <fill>
        <patternFill>
          <bgColor theme="6" tint="-0.499984740745262"/>
        </patternFill>
      </fill>
    </dxf>
    <dxf>
      <font>
        <color theme="0" tint="-0.499984740745262"/>
      </font>
      <fill>
        <patternFill>
          <bgColor theme="0" tint="-0.499984740745262"/>
        </patternFill>
      </fill>
    </dxf>
    <dxf>
      <font>
        <color rgb="FF9C6500"/>
      </font>
      <fill>
        <patternFill>
          <bgColor rgb="FFFFEB9C"/>
        </patternFill>
      </fill>
    </dxf>
    <dxf>
      <fill>
        <patternFill>
          <bgColor theme="0"/>
        </patternFill>
      </fill>
    </dxf>
  </dxfs>
  <tableStyles count="1" defaultTableStyle="TableStyleMedium2" defaultPivotStyle="PivotStyleLight16">
    <tableStyle name="Table Style 1" pivot="0" count="1">
      <tableStyleElement type="secondRowStripe" dxfId="66"/>
    </tableStyle>
  </tableStyles>
  <colors>
    <mruColors>
      <color rgb="FFC6EFCE"/>
      <color rgb="FFB6DEAC"/>
      <color rgb="FF006100"/>
      <color rgb="FF8A7000"/>
      <color rgb="FFFFEB9C"/>
      <color rgb="FF9C6500"/>
      <color rgb="FF877A17"/>
      <color rgb="FFFCDA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hyperlink" Target="http://sharepoint.fhr.com/IT/InformationArchitecture/IAMasterDataManagement/_layouts/listform.aspx?PageType=4&amp;ListId=%7bE6971854-779D-4810-848C-0652E35E981F%7d&amp;ID=3&amp;ContentTypeID=0x0100B9A2536B1FA28D46A215D69F2A635805" TargetMode="External"/><Relationship Id="rId3" Type="http://schemas.openxmlformats.org/officeDocument/2006/relationships/hyperlink" Target="http://sharepoint.fhr.com/IT/InformationArchitecture/IAMasterDataManagement/MDM%20Wiki/Reference%20Architecture.aspx" TargetMode="External"/><Relationship Id="rId7" Type="http://schemas.openxmlformats.org/officeDocument/2006/relationships/hyperlink" Target="http://sharepoint.fhr.com/IT/InformationArchitecture/IAMasterDataManagement/_layouts/listform.aspx?PageType=4&amp;ListId=%7bE6971854-779D-4810-848C-0652E35E981F%7d&amp;ID=2&amp;ContentTypeID=0x0100B9A2536B1FA28D46A215D69F2A635805" TargetMode="External"/><Relationship Id="rId12" Type="http://schemas.openxmlformats.org/officeDocument/2006/relationships/image" Target="../media/image17.png"/><Relationship Id="rId2" Type="http://schemas.openxmlformats.org/officeDocument/2006/relationships/hyperlink" Target="http://sharepoint.fhr.com/IT/InformationArchitecture/Wiki%20IA/PDC%20Reference%20Architecture.aspx" TargetMode="External"/><Relationship Id="rId1" Type="http://schemas.openxmlformats.org/officeDocument/2006/relationships/hyperlink" Target="http://sharepoint.fhr.com/IT/InformationArchitecture/IAMasterDataManagement/Lists/MDM%20Site%20Contacts" TargetMode="External"/><Relationship Id="rId6" Type="http://schemas.openxmlformats.org/officeDocument/2006/relationships/image" Target="../media/image14.png"/><Relationship Id="rId11" Type="http://schemas.openxmlformats.org/officeDocument/2006/relationships/hyperlink" Target="http://sharepoint.fhr.com/IT/InformationArchitecture/IAMasterDataManagement/_layouts/listform.aspx?PageType=4&amp;ListId=%7bE6971854-779D-4810-848C-0652E35E981F%7d&amp;ID=6&amp;ContentTypeID=0x0100B9A2536B1FA28D46A215D69F2A635805" TargetMode="External"/><Relationship Id="rId5" Type="http://schemas.openxmlformats.org/officeDocument/2006/relationships/hyperlink" Target="http://sharepoint.fhr.com/IT/InformationArchitecture/IAMasterDataManagement/_layouts/listform.aspx?PageType=4&amp;ListId=%7bE6971854-779D-4810-848C-0652E35E981F%7d&amp;ID=1&amp;ContentTypeID=0x0100B9A2536B1FA28D46A215D69F2A635805" TargetMode="External"/><Relationship Id="rId10" Type="http://schemas.openxmlformats.org/officeDocument/2006/relationships/image" Target="../media/image16.png"/><Relationship Id="rId4" Type="http://schemas.openxmlformats.org/officeDocument/2006/relationships/hyperlink" Target="http://sharepoint.fhr.com/IT/InformationArchitecture/IAMasterDataManagement/SitePages/Home.aspx" TargetMode="External"/><Relationship Id="rId9" Type="http://schemas.openxmlformats.org/officeDocument/2006/relationships/hyperlink" Target="http://sharepoint.fhr.com/IT/InformationArchitecture/IAMasterDataManagement/_layouts/listform.aspx?PageType=4&amp;ListId=%7bE6971854-779D-4810-848C-0652E35E981F%7d&amp;ID=4&amp;ContentTypeID=0x0100B9A2536B1FA28D46A215D69F2A635805" TargetMode="External"/><Relationship Id="rId14" Type="http://schemas.openxmlformats.org/officeDocument/2006/relationships/image" Target="../media/image18.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2.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8</xdr:col>
      <xdr:colOff>57150</xdr:colOff>
      <xdr:row>0</xdr:row>
      <xdr:rowOff>971550</xdr:rowOff>
    </xdr:from>
    <xdr:to>
      <xdr:col>9</xdr:col>
      <xdr:colOff>0</xdr:colOff>
      <xdr:row>0</xdr:row>
      <xdr:rowOff>1371600</xdr:rowOff>
    </xdr:to>
    <xdr:sp macro="" textlink="">
      <xdr:nvSpPr>
        <xdr:cNvPr id="25" name="Down Arrow Callout 24">
          <a:extLst>
            <a:ext uri="{FF2B5EF4-FFF2-40B4-BE49-F238E27FC236}">
              <a16:creationId xmlns:a16="http://schemas.microsoft.com/office/drawing/2014/main" id="{00000000-0008-0000-0000-000019000000}"/>
            </a:ext>
          </a:extLst>
        </xdr:cNvPr>
        <xdr:cNvSpPr/>
      </xdr:nvSpPr>
      <xdr:spPr>
        <a:xfrm>
          <a:off x="8001000" y="971550"/>
          <a:ext cx="7124700" cy="400050"/>
        </a:xfrm>
        <a:prstGeom prst="downArrowCallout">
          <a:avLst/>
        </a:prstGeom>
        <a:solidFill>
          <a:schemeClr val="tx2">
            <a:lumMod val="20000"/>
            <a:lumOff val="8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50000"/>
                </a:schemeClr>
              </a:solidFill>
            </a:rPr>
            <a:t>Consider advice</a:t>
          </a:r>
        </a:p>
      </xdr:txBody>
    </xdr:sp>
    <xdr:clientData/>
  </xdr:twoCellAnchor>
  <xdr:twoCellAnchor>
    <xdr:from>
      <xdr:col>3</xdr:col>
      <xdr:colOff>9525</xdr:colOff>
      <xdr:row>0</xdr:row>
      <xdr:rowOff>981075</xdr:rowOff>
    </xdr:from>
    <xdr:to>
      <xdr:col>7</xdr:col>
      <xdr:colOff>571500</xdr:colOff>
      <xdr:row>1</xdr:row>
      <xdr:rowOff>0</xdr:rowOff>
    </xdr:to>
    <xdr:sp macro="" textlink="">
      <xdr:nvSpPr>
        <xdr:cNvPr id="26" name="Down Arrow Callout 25">
          <a:extLst>
            <a:ext uri="{FF2B5EF4-FFF2-40B4-BE49-F238E27FC236}">
              <a16:creationId xmlns:a16="http://schemas.microsoft.com/office/drawing/2014/main" id="{00000000-0008-0000-0000-00001A000000}"/>
            </a:ext>
          </a:extLst>
        </xdr:cNvPr>
        <xdr:cNvSpPr/>
      </xdr:nvSpPr>
      <xdr:spPr>
        <a:xfrm>
          <a:off x="4953000" y="981075"/>
          <a:ext cx="2962275" cy="400050"/>
        </a:xfrm>
        <a:prstGeom prst="downArrowCallout">
          <a:avLst/>
        </a:prstGeom>
        <a:solidFill>
          <a:schemeClr val="tx2">
            <a:lumMod val="20000"/>
            <a:lumOff val="8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50000"/>
                </a:schemeClr>
              </a:solidFill>
            </a:rPr>
            <a:t>Weigh</a:t>
          </a:r>
          <a:r>
            <a:rPr lang="en-US" sz="1200" baseline="0">
              <a:solidFill>
                <a:schemeClr val="tx2">
                  <a:lumMod val="50000"/>
                </a:schemeClr>
              </a:solidFill>
            </a:rPr>
            <a:t> </a:t>
          </a:r>
          <a:r>
            <a:rPr lang="en-US" sz="1200">
              <a:solidFill>
                <a:schemeClr val="tx2">
                  <a:lumMod val="50000"/>
                </a:schemeClr>
              </a:solidFill>
            </a:rPr>
            <a:t>Pattern</a:t>
          </a:r>
          <a:r>
            <a:rPr lang="en-US" sz="1200" baseline="0">
              <a:solidFill>
                <a:schemeClr val="tx2">
                  <a:lumMod val="50000"/>
                </a:schemeClr>
              </a:solidFill>
            </a:rPr>
            <a:t> Recommendations</a:t>
          </a:r>
          <a:endParaRPr lang="en-US" sz="1200">
            <a:solidFill>
              <a:schemeClr val="tx2">
                <a:lumMod val="50000"/>
              </a:schemeClr>
            </a:solidFill>
          </a:endParaRPr>
        </a:p>
      </xdr:txBody>
    </xdr:sp>
    <xdr:clientData/>
  </xdr:twoCellAnchor>
  <xdr:twoCellAnchor>
    <xdr:from>
      <xdr:col>1</xdr:col>
      <xdr:colOff>857250</xdr:colOff>
      <xdr:row>0</xdr:row>
      <xdr:rowOff>971550</xdr:rowOff>
    </xdr:from>
    <xdr:to>
      <xdr:col>1</xdr:col>
      <xdr:colOff>2333625</xdr:colOff>
      <xdr:row>0</xdr:row>
      <xdr:rowOff>1371600</xdr:rowOff>
    </xdr:to>
    <xdr:sp macro="" textlink="">
      <xdr:nvSpPr>
        <xdr:cNvPr id="28" name="Down Arrow Callout 27">
          <a:extLst>
            <a:ext uri="{FF2B5EF4-FFF2-40B4-BE49-F238E27FC236}">
              <a16:creationId xmlns:a16="http://schemas.microsoft.com/office/drawing/2014/main" id="{00000000-0008-0000-0000-00001C000000}"/>
            </a:ext>
          </a:extLst>
        </xdr:cNvPr>
        <xdr:cNvSpPr/>
      </xdr:nvSpPr>
      <xdr:spPr>
        <a:xfrm>
          <a:off x="1057275" y="971550"/>
          <a:ext cx="1476375" cy="400050"/>
        </a:xfrm>
        <a:prstGeom prst="downArrowCallout">
          <a:avLst/>
        </a:prstGeom>
        <a:solidFill>
          <a:schemeClr val="tx2">
            <a:lumMod val="20000"/>
            <a:lumOff val="8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50000"/>
                </a:schemeClr>
              </a:solidFill>
            </a:rPr>
            <a:t>Consider Questions</a:t>
          </a:r>
        </a:p>
      </xdr:txBody>
    </xdr:sp>
    <xdr:clientData/>
  </xdr:twoCellAnchor>
  <xdr:twoCellAnchor>
    <xdr:from>
      <xdr:col>1</xdr:col>
      <xdr:colOff>3352800</xdr:colOff>
      <xdr:row>0</xdr:row>
      <xdr:rowOff>971550</xdr:rowOff>
    </xdr:from>
    <xdr:to>
      <xdr:col>2</xdr:col>
      <xdr:colOff>1276350</xdr:colOff>
      <xdr:row>0</xdr:row>
      <xdr:rowOff>1371600</xdr:rowOff>
    </xdr:to>
    <xdr:sp macro="" textlink="">
      <xdr:nvSpPr>
        <xdr:cNvPr id="35" name="Down Arrow Callout 34">
          <a:extLst>
            <a:ext uri="{FF2B5EF4-FFF2-40B4-BE49-F238E27FC236}">
              <a16:creationId xmlns:a16="http://schemas.microsoft.com/office/drawing/2014/main" id="{00000000-0008-0000-0000-000023000000}"/>
            </a:ext>
          </a:extLst>
        </xdr:cNvPr>
        <xdr:cNvSpPr/>
      </xdr:nvSpPr>
      <xdr:spPr>
        <a:xfrm>
          <a:off x="3552825" y="971550"/>
          <a:ext cx="1371600" cy="400050"/>
        </a:xfrm>
        <a:prstGeom prst="downArrowCallout">
          <a:avLst/>
        </a:prstGeom>
        <a:solidFill>
          <a:schemeClr val="tx2">
            <a:lumMod val="20000"/>
            <a:lumOff val="8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50000"/>
                </a:schemeClr>
              </a:solidFill>
            </a:rPr>
            <a:t>Answer Questions</a:t>
          </a:r>
        </a:p>
      </xdr:txBody>
    </xdr:sp>
    <xdr:clientData/>
  </xdr:twoCellAnchor>
  <xdr:twoCellAnchor>
    <xdr:from>
      <xdr:col>8</xdr:col>
      <xdr:colOff>3438525</xdr:colOff>
      <xdr:row>0</xdr:row>
      <xdr:rowOff>28576</xdr:rowOff>
    </xdr:from>
    <xdr:to>
      <xdr:col>8</xdr:col>
      <xdr:colOff>4991101</xdr:colOff>
      <xdr:row>0</xdr:row>
      <xdr:rowOff>933450</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11382375" y="28576"/>
          <a:ext cx="1552576" cy="904874"/>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28574</xdr:colOff>
      <xdr:row>0</xdr:row>
      <xdr:rowOff>28576</xdr:rowOff>
    </xdr:from>
    <xdr:to>
      <xdr:col>8</xdr:col>
      <xdr:colOff>3419474</xdr:colOff>
      <xdr:row>0</xdr:row>
      <xdr:rowOff>933450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4972049" y="28576"/>
          <a:ext cx="6391275" cy="904874"/>
        </a:xfrm>
        <a:prstGeom prst="rect">
          <a:avLst/>
        </a:prstGeom>
        <a:solidFill>
          <a:schemeClr val="tx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3467100</xdr:colOff>
      <xdr:row>16</xdr:row>
      <xdr:rowOff>104775</xdr:rowOff>
    </xdr:from>
    <xdr:to>
      <xdr:col>8</xdr:col>
      <xdr:colOff>6743700</xdr:colOff>
      <xdr:row>26</xdr:row>
      <xdr:rowOff>180975</xdr:rowOff>
    </xdr:to>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11410950" y="7515225"/>
          <a:ext cx="3276600" cy="1981200"/>
        </a:xfrm>
        <a:prstGeom prst="roundRect">
          <a:avLst>
            <a:gd name="adj" fmla="val 4167"/>
          </a:avLst>
        </a:prstGeom>
        <a:solidFill>
          <a:schemeClr val="tx2">
            <a:lumMod val="20000"/>
            <a:lumOff val="8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50000"/>
                </a:schemeClr>
              </a:solidFill>
            </a:rPr>
            <a:t>Links </a:t>
          </a:r>
          <a:r>
            <a:rPr lang="en-US" sz="1600" b="1" i="1">
              <a:solidFill>
                <a:schemeClr val="tx2">
                  <a:lumMod val="50000"/>
                </a:schemeClr>
              </a:solidFill>
            </a:rPr>
            <a:t>(click)</a:t>
          </a:r>
        </a:p>
      </xdr:txBody>
    </xdr:sp>
    <xdr:clientData/>
  </xdr:twoCellAnchor>
  <xdr:twoCellAnchor>
    <xdr:from>
      <xdr:col>8</xdr:col>
      <xdr:colOff>3524250</xdr:colOff>
      <xdr:row>18</xdr:row>
      <xdr:rowOff>123826</xdr:rowOff>
    </xdr:from>
    <xdr:to>
      <xdr:col>8</xdr:col>
      <xdr:colOff>6686550</xdr:colOff>
      <xdr:row>20</xdr:row>
      <xdr:rowOff>19050</xdr:rowOff>
    </xdr:to>
    <xdr:sp macro="" textlink="">
      <xdr:nvSpPr>
        <xdr:cNvPr id="13" name="Rounded 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11468100" y="7915276"/>
          <a:ext cx="3162300" cy="276224"/>
        </a:xfrm>
        <a:prstGeom prst="roundRect">
          <a:avLst/>
        </a:prstGeom>
        <a:solidFill>
          <a:schemeClr val="tx2">
            <a:lumMod val="50000"/>
          </a:schemeClr>
        </a:solidFill>
        <a:ln>
          <a:no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indent="0" algn="ctr"/>
          <a:r>
            <a:rPr lang="en-US" sz="1200">
              <a:solidFill>
                <a:schemeClr val="tx2">
                  <a:lumMod val="20000"/>
                  <a:lumOff val="80000"/>
                </a:schemeClr>
              </a:solidFill>
              <a:latin typeface="+mn-lt"/>
              <a:ea typeface="+mn-ea"/>
              <a:cs typeface="+mn-cs"/>
            </a:rPr>
            <a:t>Contact List: Channel Data Stewards</a:t>
          </a:r>
        </a:p>
      </xdr:txBody>
    </xdr:sp>
    <xdr:clientData/>
  </xdr:twoCellAnchor>
  <xdr:twoCellAnchor>
    <xdr:from>
      <xdr:col>8</xdr:col>
      <xdr:colOff>3527426</xdr:colOff>
      <xdr:row>24</xdr:row>
      <xdr:rowOff>76201</xdr:rowOff>
    </xdr:from>
    <xdr:to>
      <xdr:col>8</xdr:col>
      <xdr:colOff>6689726</xdr:colOff>
      <xdr:row>25</xdr:row>
      <xdr:rowOff>171450</xdr:rowOff>
    </xdr:to>
    <xdr:sp macro="" textlink="">
      <xdr:nvSpPr>
        <xdr:cNvPr id="14" name="Rounded Rectangle 13">
          <a:hlinkClick xmlns:r="http://schemas.openxmlformats.org/officeDocument/2006/relationships" r:id="rId2"/>
          <a:extLst>
            <a:ext uri="{FF2B5EF4-FFF2-40B4-BE49-F238E27FC236}">
              <a16:creationId xmlns:a16="http://schemas.microsoft.com/office/drawing/2014/main" id="{00000000-0008-0000-0000-00000E000000}"/>
            </a:ext>
          </a:extLst>
        </xdr:cNvPr>
        <xdr:cNvSpPr/>
      </xdr:nvSpPr>
      <xdr:spPr>
        <a:xfrm>
          <a:off x="11471276" y="9010651"/>
          <a:ext cx="3162300" cy="285749"/>
        </a:xfrm>
        <a:prstGeom prst="roundRect">
          <a:avLst/>
        </a:prstGeom>
        <a:solidFill>
          <a:schemeClr val="tx2">
            <a:lumMod val="50000"/>
          </a:schemeClr>
        </a:solidFill>
        <a:ln>
          <a:no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l"/>
          <a:r>
            <a:rPr lang="en-US" sz="1200">
              <a:solidFill>
                <a:schemeClr val="tx2">
                  <a:lumMod val="20000"/>
                  <a:lumOff val="80000"/>
                </a:schemeClr>
              </a:solidFill>
            </a:rPr>
            <a:t>Architecture: Producer, Distributor, Consumer</a:t>
          </a:r>
        </a:p>
      </xdr:txBody>
    </xdr:sp>
    <xdr:clientData/>
  </xdr:twoCellAnchor>
  <xdr:twoCellAnchor>
    <xdr:from>
      <xdr:col>8</xdr:col>
      <xdr:colOff>3524250</xdr:colOff>
      <xdr:row>22</xdr:row>
      <xdr:rowOff>95251</xdr:rowOff>
    </xdr:from>
    <xdr:to>
      <xdr:col>8</xdr:col>
      <xdr:colOff>6686550</xdr:colOff>
      <xdr:row>23</xdr:row>
      <xdr:rowOff>180975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000-00000F000000}"/>
            </a:ext>
          </a:extLst>
        </xdr:cNvPr>
        <xdr:cNvSpPr/>
      </xdr:nvSpPr>
      <xdr:spPr>
        <a:xfrm>
          <a:off x="11468100" y="8648701"/>
          <a:ext cx="3162300" cy="276224"/>
        </a:xfrm>
        <a:prstGeom prst="roundRect">
          <a:avLst/>
        </a:prstGeom>
        <a:solidFill>
          <a:schemeClr val="tx2">
            <a:lumMod val="50000"/>
          </a:schemeClr>
        </a:solidFill>
        <a:ln>
          <a:no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l"/>
          <a:r>
            <a:rPr lang="en-US" sz="1200">
              <a:solidFill>
                <a:schemeClr val="tx2">
                  <a:lumMod val="20000"/>
                  <a:lumOff val="80000"/>
                </a:schemeClr>
              </a:solidFill>
            </a:rPr>
            <a:t>Architecture: Master Data Reference</a:t>
          </a:r>
        </a:p>
      </xdr:txBody>
    </xdr:sp>
    <xdr:clientData/>
  </xdr:twoCellAnchor>
  <xdr:twoCellAnchor>
    <xdr:from>
      <xdr:col>8</xdr:col>
      <xdr:colOff>3530600</xdr:colOff>
      <xdr:row>20</xdr:row>
      <xdr:rowOff>85726</xdr:rowOff>
    </xdr:from>
    <xdr:to>
      <xdr:col>8</xdr:col>
      <xdr:colOff>6692900</xdr:colOff>
      <xdr:row>21</xdr:row>
      <xdr:rowOff>180975</xdr:rowOff>
    </xdr:to>
    <xdr:sp macro="" textlink="">
      <xdr:nvSpPr>
        <xdr:cNvPr id="17" name="Rounded Rectangle 16">
          <a:hlinkClick xmlns:r="http://schemas.openxmlformats.org/officeDocument/2006/relationships" r:id="rId4"/>
          <a:extLst>
            <a:ext uri="{FF2B5EF4-FFF2-40B4-BE49-F238E27FC236}">
              <a16:creationId xmlns:a16="http://schemas.microsoft.com/office/drawing/2014/main" id="{00000000-0008-0000-0000-000011000000}"/>
            </a:ext>
          </a:extLst>
        </xdr:cNvPr>
        <xdr:cNvSpPr/>
      </xdr:nvSpPr>
      <xdr:spPr>
        <a:xfrm>
          <a:off x="11474450" y="8258176"/>
          <a:ext cx="3162300" cy="285749"/>
        </a:xfrm>
        <a:prstGeom prst="roundRect">
          <a:avLst/>
        </a:prstGeom>
        <a:solidFill>
          <a:schemeClr val="tx2">
            <a:lumMod val="50000"/>
          </a:schemeClr>
        </a:solidFill>
        <a:ln>
          <a:no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l"/>
          <a:r>
            <a:rPr lang="en-US" sz="1200">
              <a:solidFill>
                <a:schemeClr val="tx2">
                  <a:lumMod val="20000"/>
                  <a:lumOff val="80000"/>
                </a:schemeClr>
              </a:solidFill>
            </a:rPr>
            <a:t>Architecture: Master</a:t>
          </a:r>
          <a:r>
            <a:rPr lang="en-US" sz="1200" baseline="0">
              <a:solidFill>
                <a:schemeClr val="tx2">
                  <a:lumMod val="20000"/>
                  <a:lumOff val="80000"/>
                </a:schemeClr>
              </a:solidFill>
            </a:rPr>
            <a:t> Data Management</a:t>
          </a:r>
          <a:endParaRPr lang="en-US" sz="1200">
            <a:solidFill>
              <a:schemeClr val="tx2">
                <a:lumMod val="20000"/>
                <a:lumOff val="80000"/>
              </a:schemeClr>
            </a:solidFill>
          </a:endParaRPr>
        </a:p>
      </xdr:txBody>
    </xdr:sp>
    <xdr:clientData/>
  </xdr:twoCellAnchor>
  <xdr:twoCellAnchor>
    <xdr:from>
      <xdr:col>0</xdr:col>
      <xdr:colOff>19049</xdr:colOff>
      <xdr:row>0</xdr:row>
      <xdr:rowOff>9525</xdr:rowOff>
    </xdr:from>
    <xdr:to>
      <xdr:col>2</xdr:col>
      <xdr:colOff>466725</xdr:colOff>
      <xdr:row>0</xdr:row>
      <xdr:rowOff>895350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9049" y="9525"/>
          <a:ext cx="3876676" cy="885825"/>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600" b="1" u="sng">
              <a:solidFill>
                <a:sysClr val="windowText" lastClr="000000"/>
              </a:solidFill>
              <a:effectLst/>
            </a:rPr>
            <a:t>Master Data </a:t>
          </a:r>
          <a:r>
            <a:rPr lang="en-US" sz="1400" b="1" u="sng">
              <a:solidFill>
                <a:sysClr val="windowText" lastClr="000000"/>
              </a:solidFill>
              <a:effectLst/>
            </a:rPr>
            <a:t>Architecture</a:t>
          </a:r>
          <a:r>
            <a:rPr lang="en-US" sz="1600" b="1" u="sng">
              <a:solidFill>
                <a:sysClr val="windowText" lastClr="000000"/>
              </a:solidFill>
              <a:effectLst/>
            </a:rPr>
            <a:t> Pattern Worksheet</a:t>
          </a:r>
        </a:p>
        <a:p>
          <a:r>
            <a:rPr lang="en-US" sz="1400" b="0" i="1" u="none">
              <a:solidFill>
                <a:sysClr val="windowText" lastClr="000000"/>
              </a:solidFill>
              <a:effectLst/>
            </a:rPr>
            <a:t>Fill</a:t>
          </a:r>
          <a:r>
            <a:rPr lang="en-US" sz="1400" b="0" i="1" u="none" baseline="0">
              <a:solidFill>
                <a:sysClr val="windowText" lastClr="000000"/>
              </a:solidFill>
              <a:effectLst/>
            </a:rPr>
            <a:t> in at the start of projects which produce, distribute, or consume master data</a:t>
          </a:r>
          <a:endParaRPr lang="en-US" sz="1400" b="0" i="1" u="none">
            <a:solidFill>
              <a:sysClr val="windowText" lastClr="000000"/>
            </a:solidFill>
            <a:effectLst/>
          </a:endParaRPr>
        </a:p>
      </xdr:txBody>
    </xdr:sp>
    <xdr:clientData/>
  </xdr:twoCellAnchor>
  <xdr:twoCellAnchor>
    <xdr:from>
      <xdr:col>6</xdr:col>
      <xdr:colOff>304798</xdr:colOff>
      <xdr:row>16</xdr:row>
      <xdr:rowOff>104774</xdr:rowOff>
    </xdr:from>
    <xdr:to>
      <xdr:col>8</xdr:col>
      <xdr:colOff>3371849</xdr:colOff>
      <xdr:row>29</xdr:row>
      <xdr:rowOff>133349</xdr:rowOff>
    </xdr:to>
    <xdr:sp macro="" textlink="">
      <xdr:nvSpPr>
        <xdr:cNvPr id="92" name="TextBox 91">
          <a:extLst>
            <a:ext uri="{FF2B5EF4-FFF2-40B4-BE49-F238E27FC236}">
              <a16:creationId xmlns:a16="http://schemas.microsoft.com/office/drawing/2014/main" id="{00000000-0008-0000-0000-00005C000000}"/>
            </a:ext>
          </a:extLst>
        </xdr:cNvPr>
        <xdr:cNvSpPr txBox="1"/>
      </xdr:nvSpPr>
      <xdr:spPr>
        <a:xfrm>
          <a:off x="7048498" y="7515224"/>
          <a:ext cx="4267201" cy="2505075"/>
        </a:xfrm>
        <a:prstGeom prst="roundRect">
          <a:avLst>
            <a:gd name="adj" fmla="val 4119"/>
          </a:avLst>
        </a:prstGeom>
        <a:solidFill>
          <a:schemeClr val="tx2">
            <a:lumMod val="20000"/>
            <a:lumOff val="8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aseline="0">
              <a:solidFill>
                <a:schemeClr val="tx2">
                  <a:lumMod val="50000"/>
                </a:schemeClr>
              </a:solidFill>
              <a:effectLst/>
              <a:latin typeface="+mn-lt"/>
              <a:ea typeface="+mn-ea"/>
              <a:cs typeface="+mn-cs"/>
            </a:rPr>
            <a:t>ᴥ</a:t>
          </a:r>
          <a:r>
            <a:rPr lang="en-US" sz="1200" b="1">
              <a:solidFill>
                <a:schemeClr val="tx2">
                  <a:lumMod val="50000"/>
                </a:schemeClr>
              </a:solidFill>
              <a:latin typeface="+mn-lt"/>
              <a:ea typeface="+mn-ea"/>
              <a:cs typeface="+mn-cs"/>
            </a:rPr>
            <a:t>Project Name</a:t>
          </a:r>
          <a:r>
            <a:rPr lang="en-US" sz="1200">
              <a:solidFill>
                <a:schemeClr val="tx2">
                  <a:lumMod val="50000"/>
                </a:schemeClr>
              </a:solidFill>
              <a:latin typeface="+mn-lt"/>
              <a:ea typeface="+mn-ea"/>
              <a:cs typeface="+mn-cs"/>
            </a:rPr>
            <a:t>:                     </a:t>
          </a:r>
        </a:p>
        <a:p>
          <a:pPr marL="0" indent="0" algn="l"/>
          <a:r>
            <a:rPr lang="en-US" sz="1100" baseline="0">
              <a:solidFill>
                <a:schemeClr val="tx2">
                  <a:lumMod val="50000"/>
                </a:schemeClr>
              </a:solidFill>
              <a:effectLst/>
              <a:latin typeface="+mn-lt"/>
              <a:ea typeface="+mn-ea"/>
              <a:cs typeface="+mn-cs"/>
            </a:rPr>
            <a:t>ᴥ</a:t>
          </a:r>
          <a:r>
            <a:rPr lang="en-US" sz="1200" b="1">
              <a:solidFill>
                <a:schemeClr val="tx2">
                  <a:lumMod val="50000"/>
                </a:schemeClr>
              </a:solidFill>
              <a:latin typeface="+mn-lt"/>
              <a:ea typeface="+mn-ea"/>
              <a:cs typeface="+mn-cs"/>
            </a:rPr>
            <a:t>Subject</a:t>
          </a:r>
          <a:r>
            <a:rPr lang="en-US" sz="1200">
              <a:solidFill>
                <a:schemeClr val="tx2">
                  <a:lumMod val="50000"/>
                </a:schemeClr>
              </a:solidFill>
              <a:latin typeface="+mn-lt"/>
              <a:ea typeface="+mn-ea"/>
              <a:cs typeface="+mn-cs"/>
            </a:rPr>
            <a:t>: </a:t>
          </a:r>
        </a:p>
        <a:p>
          <a:pPr marL="0" indent="0" algn="l"/>
          <a:r>
            <a:rPr lang="en-US" sz="1100" baseline="0">
              <a:solidFill>
                <a:schemeClr val="tx2">
                  <a:lumMod val="50000"/>
                </a:schemeClr>
              </a:solidFill>
              <a:effectLst/>
              <a:latin typeface="+mn-lt"/>
              <a:ea typeface="+mn-ea"/>
              <a:cs typeface="+mn-cs"/>
            </a:rPr>
            <a:t>ᴥ</a:t>
          </a:r>
          <a:r>
            <a:rPr lang="en-US" sz="1200" b="1">
              <a:solidFill>
                <a:schemeClr val="tx2">
                  <a:lumMod val="50000"/>
                </a:schemeClr>
              </a:solidFill>
              <a:latin typeface="+mn-lt"/>
              <a:ea typeface="+mn-ea"/>
              <a:cs typeface="+mn-cs"/>
            </a:rPr>
            <a:t>Filled in by</a:t>
          </a:r>
          <a:r>
            <a:rPr lang="en-US" sz="1200">
              <a:solidFill>
                <a:schemeClr val="tx2">
                  <a:lumMod val="50000"/>
                </a:schemeClr>
              </a:solidFill>
              <a:latin typeface="+mn-lt"/>
              <a:ea typeface="+mn-ea"/>
              <a:cs typeface="+mn-cs"/>
            </a:rPr>
            <a:t>:</a:t>
          </a:r>
        </a:p>
        <a:p>
          <a:pPr marL="0" indent="0" algn="l"/>
          <a:r>
            <a:rPr lang="en-US" sz="1100" baseline="0">
              <a:solidFill>
                <a:schemeClr val="tx2">
                  <a:lumMod val="50000"/>
                </a:schemeClr>
              </a:solidFill>
              <a:effectLst/>
              <a:latin typeface="+mn-lt"/>
              <a:ea typeface="+mn-ea"/>
              <a:cs typeface="+mn-cs"/>
            </a:rPr>
            <a:t>ᴥ</a:t>
          </a:r>
          <a:r>
            <a:rPr lang="en-US" sz="1200" b="1">
              <a:solidFill>
                <a:schemeClr val="tx2">
                  <a:lumMod val="50000"/>
                </a:schemeClr>
              </a:solidFill>
              <a:latin typeface="+mn-lt"/>
              <a:ea typeface="+mn-ea"/>
              <a:cs typeface="+mn-cs"/>
            </a:rPr>
            <a:t>Consulting Data Steward</a:t>
          </a:r>
          <a:r>
            <a:rPr lang="en-US" sz="1200">
              <a:solidFill>
                <a:schemeClr val="tx2">
                  <a:lumMod val="50000"/>
                </a:schemeClr>
              </a:solidFill>
              <a:latin typeface="+mn-lt"/>
              <a:ea typeface="+mn-ea"/>
              <a:cs typeface="+mn-cs"/>
            </a:rPr>
            <a:t>: </a:t>
          </a:r>
        </a:p>
        <a:p>
          <a:pPr marL="0" indent="0" algn="l"/>
          <a:r>
            <a:rPr lang="en-US" sz="1100" baseline="0">
              <a:solidFill>
                <a:schemeClr val="tx2">
                  <a:lumMod val="50000"/>
                </a:schemeClr>
              </a:solidFill>
              <a:effectLst/>
              <a:latin typeface="+mn-lt"/>
              <a:ea typeface="+mn-ea"/>
              <a:cs typeface="+mn-cs"/>
            </a:rPr>
            <a:t>ᴥ</a:t>
          </a:r>
          <a:r>
            <a:rPr lang="en-US" sz="1200" b="1">
              <a:solidFill>
                <a:schemeClr val="tx2">
                  <a:lumMod val="50000"/>
                </a:schemeClr>
              </a:solidFill>
              <a:latin typeface="+mn-lt"/>
              <a:ea typeface="+mn-ea"/>
              <a:cs typeface="+mn-cs"/>
            </a:rPr>
            <a:t>Scenario:</a:t>
          </a:r>
        </a:p>
        <a:p>
          <a:pPr marL="0" indent="0" algn="l"/>
          <a:endParaRPr lang="en-US" sz="1200" b="1">
            <a:solidFill>
              <a:schemeClr val="tx2">
                <a:lumMod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8</xdr:col>
          <xdr:colOff>5114925</xdr:colOff>
          <xdr:row>0</xdr:row>
          <xdr:rowOff>238125</xdr:rowOff>
        </xdr:from>
        <xdr:to>
          <xdr:col>10</xdr:col>
          <xdr:colOff>38100</xdr:colOff>
          <xdr:row>0</xdr:row>
          <xdr:rowOff>590550</xdr:rowOff>
        </xdr:to>
        <xdr:sp macro="" textlink="">
          <xdr:nvSpPr>
            <xdr:cNvPr id="3086" name="ResetWorkSheet"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104774</xdr:colOff>
      <xdr:row>16</xdr:row>
      <xdr:rowOff>76200</xdr:rowOff>
    </xdr:from>
    <xdr:to>
      <xdr:col>6</xdr:col>
      <xdr:colOff>152399</xdr:colOff>
      <xdr:row>35</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4774" y="7486650"/>
          <a:ext cx="6791325" cy="3581400"/>
        </a:xfrm>
        <a:prstGeom prst="roundRect">
          <a:avLst>
            <a:gd name="adj" fmla="val 4167"/>
          </a:avLst>
        </a:prstGeom>
        <a:solidFill>
          <a:schemeClr val="tx2">
            <a:lumMod val="20000"/>
            <a:lumOff val="80000"/>
          </a:schemeClr>
        </a:solidFill>
        <a:ln>
          <a:no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algn="ctr"/>
          <a:r>
            <a:rPr lang="en-US" sz="1400" b="1" u="sng">
              <a:solidFill>
                <a:schemeClr val="tx2">
                  <a:lumMod val="50000"/>
                </a:schemeClr>
              </a:solidFill>
            </a:rPr>
            <a:t>Instructions</a:t>
          </a:r>
        </a:p>
        <a:p>
          <a:pPr algn="ctr"/>
          <a:r>
            <a:rPr lang="en-US" sz="1400" b="0" u="none">
              <a:solidFill>
                <a:schemeClr val="tx2">
                  <a:lumMod val="50000"/>
                </a:schemeClr>
              </a:solidFill>
            </a:rPr>
            <a:t>version beta</a:t>
          </a:r>
        </a:p>
        <a:p>
          <a:pPr algn="ctr"/>
          <a:endParaRPr lang="en-US" sz="1100" b="1" u="sng">
            <a:solidFill>
              <a:schemeClr val="tx2">
                <a:lumMod val="50000"/>
              </a:schemeClr>
            </a:solidFill>
          </a:endParaRPr>
        </a:p>
        <a:p>
          <a:r>
            <a:rPr lang="en-US" sz="1100" b="1" u="sng">
              <a:solidFill>
                <a:schemeClr val="tx2">
                  <a:lumMod val="50000"/>
                </a:schemeClr>
              </a:solidFill>
            </a:rPr>
            <a:t>1.</a:t>
          </a:r>
          <a:r>
            <a:rPr lang="en-US" sz="1100" b="1" u="sng" baseline="0">
              <a:solidFill>
                <a:schemeClr val="tx2">
                  <a:lumMod val="50000"/>
                </a:schemeClr>
              </a:solidFill>
            </a:rPr>
            <a:t> Study patterns: </a:t>
          </a:r>
          <a:r>
            <a:rPr lang="en-US" sz="1100" b="0" u="none" baseline="0">
              <a:solidFill>
                <a:schemeClr val="tx2">
                  <a:lumMod val="50000"/>
                </a:schemeClr>
              </a:solidFill>
            </a:rPr>
            <a:t>click on the Patterns at the top of the sheet</a:t>
          </a:r>
        </a:p>
        <a:p>
          <a:r>
            <a:rPr lang="en-US" sz="1100" b="0" u="none" baseline="0">
              <a:solidFill>
                <a:schemeClr val="tx2">
                  <a:lumMod val="50000"/>
                </a:schemeClr>
              </a:solidFill>
            </a:rPr>
            <a:t>2. Fill in the information </a:t>
          </a:r>
        </a:p>
        <a:p>
          <a:r>
            <a:rPr lang="en-US" sz="1100" b="1" u="sng">
              <a:solidFill>
                <a:schemeClr val="tx2">
                  <a:lumMod val="50000"/>
                </a:schemeClr>
              </a:solidFill>
            </a:rPr>
            <a:t>2. Fill</a:t>
          </a:r>
          <a:r>
            <a:rPr lang="en-US" sz="1100" b="1" u="sng" baseline="0">
              <a:solidFill>
                <a:schemeClr val="tx2">
                  <a:lumMod val="50000"/>
                </a:schemeClr>
              </a:solidFill>
            </a:rPr>
            <a:t> in the work sheet</a:t>
          </a:r>
          <a:endParaRPr lang="en-US" sz="1100" b="1" u="sng">
            <a:solidFill>
              <a:schemeClr val="tx2">
                <a:lumMod val="50000"/>
              </a:schemeClr>
            </a:solidFill>
          </a:endParaRPr>
        </a:p>
        <a:p>
          <a:pPr lvl="1"/>
          <a:r>
            <a:rPr lang="en-US" sz="1100" baseline="0">
              <a:solidFill>
                <a:schemeClr val="tx2">
                  <a:lumMod val="50000"/>
                </a:schemeClr>
              </a:solidFill>
            </a:rPr>
            <a:t>In column C:</a:t>
          </a:r>
        </a:p>
        <a:p>
          <a:pPr lvl="2"/>
          <a:r>
            <a:rPr lang="en-US" sz="1100" baseline="0">
              <a:solidFill>
                <a:schemeClr val="tx2">
                  <a:lumMod val="50000"/>
                </a:schemeClr>
              </a:solidFill>
            </a:rPr>
            <a:t>ᴥ Select answers from the dropdown in the answers column</a:t>
          </a:r>
        </a:p>
        <a:p>
          <a:pPr lvl="2"/>
          <a:r>
            <a:rPr lang="en-US" sz="1100" baseline="0">
              <a:solidFill>
                <a:schemeClr val="tx2">
                  <a:lumMod val="50000"/>
                </a:schemeClr>
              </a:solidFill>
              <a:effectLst/>
              <a:latin typeface="+mn-lt"/>
              <a:ea typeface="+mn-ea"/>
              <a:cs typeface="+mn-cs"/>
            </a:rPr>
            <a:t>ᴥ</a:t>
          </a:r>
          <a:r>
            <a:rPr lang="en-US" sz="1100" baseline="0">
              <a:solidFill>
                <a:schemeClr val="tx2">
                  <a:lumMod val="50000"/>
                </a:schemeClr>
              </a:solidFill>
            </a:rPr>
            <a:t>If unsure of the answer, select unsure, save the workbook and contact you data steward or IA</a:t>
          </a:r>
        </a:p>
        <a:p>
          <a:pPr lvl="2"/>
          <a:r>
            <a:rPr lang="en-US" sz="1100" baseline="0">
              <a:solidFill>
                <a:schemeClr val="tx2">
                  <a:lumMod val="50000"/>
                </a:schemeClr>
              </a:solidFill>
              <a:effectLst/>
              <a:latin typeface="+mn-lt"/>
              <a:ea typeface="+mn-ea"/>
              <a:cs typeface="+mn-cs"/>
            </a:rPr>
            <a:t>ᴥ</a:t>
          </a:r>
          <a:r>
            <a:rPr lang="en-US" sz="1100" baseline="0">
              <a:solidFill>
                <a:schemeClr val="tx2">
                  <a:lumMod val="50000"/>
                </a:schemeClr>
              </a:solidFill>
            </a:rPr>
            <a:t>To back up to a previous question and change the answer just select the dropdown, the </a:t>
          </a:r>
          <a:r>
            <a:rPr lang="en-US" sz="1100" baseline="0">
              <a:solidFill>
                <a:schemeClr val="tx2">
                  <a:lumMod val="50000"/>
                </a:schemeClr>
              </a:solidFill>
              <a:effectLst/>
              <a:latin typeface="+mn-lt"/>
              <a:ea typeface="+mn-ea"/>
              <a:cs typeface="+mn-cs"/>
            </a:rPr>
            <a:t>ᴥ</a:t>
          </a:r>
          <a:r>
            <a:rPr lang="en-US" sz="1100" baseline="0">
              <a:solidFill>
                <a:schemeClr val="tx2">
                  <a:lumMod val="50000"/>
                </a:schemeClr>
              </a:solidFill>
            </a:rPr>
            <a:t>worksheet will reset to that question.  All work after tha t point will be lost</a:t>
          </a:r>
        </a:p>
        <a:p>
          <a:pPr lvl="0"/>
          <a:r>
            <a:rPr lang="en-US" sz="1100" baseline="0">
              <a:solidFill>
                <a:schemeClr val="tx2">
                  <a:lumMod val="50000"/>
                </a:schemeClr>
              </a:solidFill>
            </a:rPr>
            <a:t>Tip: To add comments use the Excel comment function for the cell </a:t>
          </a:r>
        </a:p>
        <a:p>
          <a:pPr lvl="1"/>
          <a:r>
            <a:rPr lang="en-US" sz="1100" baseline="0">
              <a:solidFill>
                <a:schemeClr val="tx2">
                  <a:lumMod val="50000"/>
                </a:schemeClr>
              </a:solidFill>
              <a:effectLst/>
              <a:latin typeface="+mn-lt"/>
              <a:ea typeface="+mn-ea"/>
              <a:cs typeface="+mn-cs"/>
            </a:rPr>
            <a:t>ᴥ</a:t>
          </a:r>
          <a:r>
            <a:rPr lang="en-US" sz="1100" baseline="0">
              <a:solidFill>
                <a:schemeClr val="tx2">
                  <a:lumMod val="50000"/>
                </a:schemeClr>
              </a:solidFill>
            </a:rPr>
            <a:t> Save the spread sheet for posterity </a:t>
          </a:r>
        </a:p>
        <a:p>
          <a:endParaRPr lang="en-US" sz="1100" baseline="0">
            <a:solidFill>
              <a:schemeClr val="tx2">
                <a:lumMod val="50000"/>
              </a:schemeClr>
            </a:solidFill>
          </a:endParaRPr>
        </a:p>
        <a:p>
          <a:r>
            <a:rPr lang="en-US" sz="1100" i="1" baseline="0">
              <a:solidFill>
                <a:schemeClr val="tx2">
                  <a:lumMod val="50000"/>
                </a:schemeClr>
              </a:solidFill>
            </a:rPr>
            <a:t>Please don't change other fields it will wipe out formulas or metadata</a:t>
          </a:r>
        </a:p>
        <a:p>
          <a:r>
            <a:rPr lang="en-US" sz="1100" i="1">
              <a:solidFill>
                <a:schemeClr val="tx2">
                  <a:lumMod val="50000"/>
                </a:schemeClr>
              </a:solidFill>
            </a:rPr>
            <a:t>Tip: Us the note function to make notes, right click on a question cell and add notes</a:t>
          </a:r>
          <a:r>
            <a:rPr lang="en-US" sz="1100" i="1" baseline="0">
              <a:solidFill>
                <a:schemeClr val="tx2">
                  <a:lumMod val="50000"/>
                </a:schemeClr>
              </a:solidFill>
            </a:rPr>
            <a:t> as you work through the sheet</a:t>
          </a:r>
          <a:endParaRPr lang="en-US" sz="1100" i="1">
            <a:solidFill>
              <a:schemeClr val="tx2">
                <a:lumMod val="50000"/>
              </a:schemeClr>
            </a:solidFill>
          </a:endParaRPr>
        </a:p>
      </xdr:txBody>
    </xdr:sp>
    <xdr:clientData/>
  </xdr:twoCellAnchor>
  <xdr:twoCellAnchor>
    <xdr:from>
      <xdr:col>10</xdr:col>
      <xdr:colOff>85725</xdr:colOff>
      <xdr:row>0</xdr:row>
      <xdr:rowOff>971550</xdr:rowOff>
    </xdr:from>
    <xdr:to>
      <xdr:col>11</xdr:col>
      <xdr:colOff>0</xdr:colOff>
      <xdr:row>1</xdr:row>
      <xdr:rowOff>9524</xdr:rowOff>
    </xdr:to>
    <xdr:sp macro="" textlink="">
      <xdr:nvSpPr>
        <xdr:cNvPr id="29" name="Down Arrow Callout 28">
          <a:extLst>
            <a:ext uri="{FF2B5EF4-FFF2-40B4-BE49-F238E27FC236}">
              <a16:creationId xmlns:a16="http://schemas.microsoft.com/office/drawing/2014/main" id="{00000000-0008-0000-0000-00001D000000}"/>
            </a:ext>
          </a:extLst>
        </xdr:cNvPr>
        <xdr:cNvSpPr/>
      </xdr:nvSpPr>
      <xdr:spPr>
        <a:xfrm>
          <a:off x="15211425" y="971550"/>
          <a:ext cx="1266825" cy="419099"/>
        </a:xfrm>
        <a:prstGeom prst="downArrowCallout">
          <a:avLst/>
        </a:prstGeom>
        <a:solidFill>
          <a:schemeClr val="tx2">
            <a:lumMod val="20000"/>
            <a:lumOff val="80000"/>
          </a:schemeClr>
        </a:solidFill>
        <a:ln w="9525">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50000"/>
                </a:schemeClr>
              </a:solidFill>
            </a:rPr>
            <a:t>Click to Learn</a:t>
          </a:r>
        </a:p>
      </xdr:txBody>
    </xdr:sp>
    <xdr:clientData/>
  </xdr:twoCellAnchor>
  <mc:AlternateContent xmlns:mc="http://schemas.openxmlformats.org/markup-compatibility/2006">
    <mc:Choice xmlns:a14="http://schemas.microsoft.com/office/drawing/2010/main" Requires="a14">
      <xdr:twoCellAnchor editAs="oneCell">
        <xdr:from>
          <xdr:col>2</xdr:col>
          <xdr:colOff>28574</xdr:colOff>
          <xdr:row>2</xdr:row>
          <xdr:rowOff>76200</xdr:rowOff>
        </xdr:from>
        <xdr:to>
          <xdr:col>3</xdr:col>
          <xdr:colOff>3174</xdr:colOff>
          <xdr:row>2</xdr:row>
          <xdr:rowOff>342900</xdr:rowOff>
        </xdr:to>
        <xdr:sp macro="" textlink="">
          <xdr:nvSpPr>
            <xdr:cNvPr id="3144" name="AnswerBox1"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3</xdr:row>
          <xdr:rowOff>76200</xdr:rowOff>
        </xdr:from>
        <xdr:to>
          <xdr:col>3</xdr:col>
          <xdr:colOff>3174</xdr:colOff>
          <xdr:row>3</xdr:row>
          <xdr:rowOff>342900</xdr:rowOff>
        </xdr:to>
        <xdr:sp macro="" textlink="">
          <xdr:nvSpPr>
            <xdr:cNvPr id="3145" name="AnswerBox2"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4</xdr:row>
          <xdr:rowOff>104775</xdr:rowOff>
        </xdr:from>
        <xdr:to>
          <xdr:col>3</xdr:col>
          <xdr:colOff>3174</xdr:colOff>
          <xdr:row>4</xdr:row>
          <xdr:rowOff>371475</xdr:rowOff>
        </xdr:to>
        <xdr:sp macro="" textlink="">
          <xdr:nvSpPr>
            <xdr:cNvPr id="3146" name="AnswerBox3"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5</xdr:row>
          <xdr:rowOff>104775</xdr:rowOff>
        </xdr:from>
        <xdr:to>
          <xdr:col>3</xdr:col>
          <xdr:colOff>3174</xdr:colOff>
          <xdr:row>5</xdr:row>
          <xdr:rowOff>371475</xdr:rowOff>
        </xdr:to>
        <xdr:sp macro="" textlink="">
          <xdr:nvSpPr>
            <xdr:cNvPr id="3147" name="AnswerBox4"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6</xdr:row>
          <xdr:rowOff>104775</xdr:rowOff>
        </xdr:from>
        <xdr:to>
          <xdr:col>3</xdr:col>
          <xdr:colOff>3174</xdr:colOff>
          <xdr:row>6</xdr:row>
          <xdr:rowOff>371475</xdr:rowOff>
        </xdr:to>
        <xdr:sp macro="" textlink="">
          <xdr:nvSpPr>
            <xdr:cNvPr id="3148" name="AnswerBox5" hidden="1">
              <a:extLst>
                <a:ext uri="{63B3BB69-23CF-44E3-9099-C40C66FF867C}">
                  <a14:compatExt spid="_x0000_s3148"/>
                </a:ext>
                <a:ext uri="{FF2B5EF4-FFF2-40B4-BE49-F238E27FC236}">
                  <a16:creationId xmlns:a16="http://schemas.microsoft.com/office/drawing/2014/main" id="{00000000-0008-0000-0000-00004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7</xdr:row>
          <xdr:rowOff>66675</xdr:rowOff>
        </xdr:from>
        <xdr:to>
          <xdr:col>3</xdr:col>
          <xdr:colOff>3174</xdr:colOff>
          <xdr:row>7</xdr:row>
          <xdr:rowOff>333375</xdr:rowOff>
        </xdr:to>
        <xdr:sp macro="" textlink="">
          <xdr:nvSpPr>
            <xdr:cNvPr id="3149" name="AnswerBox6" hidden="1">
              <a:extLst>
                <a:ext uri="{63B3BB69-23CF-44E3-9099-C40C66FF867C}">
                  <a14:compatExt spid="_x0000_s3149"/>
                </a:ext>
                <a:ext uri="{FF2B5EF4-FFF2-40B4-BE49-F238E27FC236}">
                  <a16:creationId xmlns:a16="http://schemas.microsoft.com/office/drawing/2014/main" id="{00000000-0008-0000-0000-00004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8</xdr:row>
          <xdr:rowOff>95250</xdr:rowOff>
        </xdr:from>
        <xdr:to>
          <xdr:col>3</xdr:col>
          <xdr:colOff>3174</xdr:colOff>
          <xdr:row>8</xdr:row>
          <xdr:rowOff>361950</xdr:rowOff>
        </xdr:to>
        <xdr:sp macro="" textlink="">
          <xdr:nvSpPr>
            <xdr:cNvPr id="3150" name="AnswerBox7" hidden="1">
              <a:extLst>
                <a:ext uri="{63B3BB69-23CF-44E3-9099-C40C66FF867C}">
                  <a14:compatExt spid="_x0000_s3150"/>
                </a:ext>
                <a:ext uri="{FF2B5EF4-FFF2-40B4-BE49-F238E27FC236}">
                  <a16:creationId xmlns:a16="http://schemas.microsoft.com/office/drawing/2014/main" id="{00000000-0008-0000-0000-00004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9</xdr:row>
          <xdr:rowOff>114300</xdr:rowOff>
        </xdr:from>
        <xdr:to>
          <xdr:col>3</xdr:col>
          <xdr:colOff>3174</xdr:colOff>
          <xdr:row>9</xdr:row>
          <xdr:rowOff>381000</xdr:rowOff>
        </xdr:to>
        <xdr:sp macro="" textlink="">
          <xdr:nvSpPr>
            <xdr:cNvPr id="3151" name="AnswerBox8" hidden="1">
              <a:extLst>
                <a:ext uri="{63B3BB69-23CF-44E3-9099-C40C66FF867C}">
                  <a14:compatExt spid="_x0000_s3151"/>
                </a:ext>
                <a:ext uri="{FF2B5EF4-FFF2-40B4-BE49-F238E27FC236}">
                  <a16:creationId xmlns:a16="http://schemas.microsoft.com/office/drawing/2014/main" id="{00000000-0008-0000-0000-00004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10</xdr:row>
          <xdr:rowOff>104775</xdr:rowOff>
        </xdr:from>
        <xdr:to>
          <xdr:col>3</xdr:col>
          <xdr:colOff>3174</xdr:colOff>
          <xdr:row>10</xdr:row>
          <xdr:rowOff>371475</xdr:rowOff>
        </xdr:to>
        <xdr:sp macro="" textlink="">
          <xdr:nvSpPr>
            <xdr:cNvPr id="3152" name="AnswerBox9" hidden="1">
              <a:extLst>
                <a:ext uri="{63B3BB69-23CF-44E3-9099-C40C66FF867C}">
                  <a14:compatExt spid="_x0000_s3152"/>
                </a:ext>
                <a:ext uri="{FF2B5EF4-FFF2-40B4-BE49-F238E27FC236}">
                  <a16:creationId xmlns:a16="http://schemas.microsoft.com/office/drawing/2014/main" id="{00000000-0008-0000-0000-00005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11</xdr:row>
          <xdr:rowOff>95250</xdr:rowOff>
        </xdr:from>
        <xdr:to>
          <xdr:col>3</xdr:col>
          <xdr:colOff>3174</xdr:colOff>
          <xdr:row>11</xdr:row>
          <xdr:rowOff>361950</xdr:rowOff>
        </xdr:to>
        <xdr:sp macro="" textlink="">
          <xdr:nvSpPr>
            <xdr:cNvPr id="3153" name="AnswerBox10" hidden="1">
              <a:extLst>
                <a:ext uri="{63B3BB69-23CF-44E3-9099-C40C66FF867C}">
                  <a14:compatExt spid="_x0000_s3153"/>
                </a:ext>
                <a:ext uri="{FF2B5EF4-FFF2-40B4-BE49-F238E27FC236}">
                  <a16:creationId xmlns:a16="http://schemas.microsoft.com/office/drawing/2014/main" id="{00000000-0008-0000-0000-00005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12</xdr:row>
          <xdr:rowOff>104775</xdr:rowOff>
        </xdr:from>
        <xdr:to>
          <xdr:col>3</xdr:col>
          <xdr:colOff>3174</xdr:colOff>
          <xdr:row>12</xdr:row>
          <xdr:rowOff>371475</xdr:rowOff>
        </xdr:to>
        <xdr:sp macro="" textlink="">
          <xdr:nvSpPr>
            <xdr:cNvPr id="3154" name="AnswerBox11" hidden="1">
              <a:extLst>
                <a:ext uri="{63B3BB69-23CF-44E3-9099-C40C66FF867C}">
                  <a14:compatExt spid="_x0000_s3154"/>
                </a:ext>
                <a:ext uri="{FF2B5EF4-FFF2-40B4-BE49-F238E27FC236}">
                  <a16:creationId xmlns:a16="http://schemas.microsoft.com/office/drawing/2014/main" id="{00000000-0008-0000-0000-00005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28574</xdr:colOff>
          <xdr:row>13</xdr:row>
          <xdr:rowOff>104775</xdr:rowOff>
        </xdr:from>
        <xdr:to>
          <xdr:col>3</xdr:col>
          <xdr:colOff>3174</xdr:colOff>
          <xdr:row>13</xdr:row>
          <xdr:rowOff>371475</xdr:rowOff>
        </xdr:to>
        <xdr:sp macro="" textlink="">
          <xdr:nvSpPr>
            <xdr:cNvPr id="3155" name="AnswerBox12" hidden="1">
              <a:extLst>
                <a:ext uri="{63B3BB69-23CF-44E3-9099-C40C66FF867C}">
                  <a14:compatExt spid="_x0000_s3155"/>
                </a:ext>
                <a:ext uri="{FF2B5EF4-FFF2-40B4-BE49-F238E27FC236}">
                  <a16:creationId xmlns:a16="http://schemas.microsoft.com/office/drawing/2014/main" id="{00000000-0008-0000-0000-00005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243340</xdr:colOff>
      <xdr:row>0</xdr:row>
      <xdr:rowOff>0</xdr:rowOff>
    </xdr:from>
    <xdr:to>
      <xdr:col>8</xdr:col>
      <xdr:colOff>1884650</xdr:colOff>
      <xdr:row>0</xdr:row>
      <xdr:rowOff>914400</xdr:rowOff>
    </xdr:to>
    <xdr:pic>
      <xdr:nvPicPr>
        <xdr:cNvPr id="4" name="Picture 3">
          <a:hlinkClick xmlns:r="http://schemas.openxmlformats.org/officeDocument/2006/relationships" r:id="rId5"/>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6"/>
        <a:stretch>
          <a:fillRect/>
        </a:stretch>
      </xdr:blipFill>
      <xdr:spPr>
        <a:xfrm>
          <a:off x="8187190" y="0"/>
          <a:ext cx="1641310" cy="914400"/>
        </a:xfrm>
        <a:prstGeom prst="rect">
          <a:avLst/>
        </a:prstGeom>
      </xdr:spPr>
    </xdr:pic>
    <xdr:clientData/>
  </xdr:twoCellAnchor>
  <xdr:twoCellAnchor editAs="oneCell">
    <xdr:from>
      <xdr:col>8</xdr:col>
      <xdr:colOff>1919892</xdr:colOff>
      <xdr:row>0</xdr:row>
      <xdr:rowOff>5832</xdr:rowOff>
    </xdr:from>
    <xdr:to>
      <xdr:col>8</xdr:col>
      <xdr:colOff>3469400</xdr:colOff>
      <xdr:row>0</xdr:row>
      <xdr:rowOff>920232</xdr:rowOff>
    </xdr:to>
    <xdr:pic>
      <xdr:nvPicPr>
        <xdr:cNvPr id="9" name="Picture 8">
          <a:hlinkClick xmlns:r="http://schemas.openxmlformats.org/officeDocument/2006/relationships" r:id="rId7"/>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a:stretch>
          <a:fillRect/>
        </a:stretch>
      </xdr:blipFill>
      <xdr:spPr>
        <a:xfrm>
          <a:off x="9863742" y="5832"/>
          <a:ext cx="1549508" cy="914400"/>
        </a:xfrm>
        <a:prstGeom prst="rect">
          <a:avLst/>
        </a:prstGeom>
      </xdr:spPr>
    </xdr:pic>
    <xdr:clientData/>
  </xdr:twoCellAnchor>
  <xdr:twoCellAnchor editAs="oneCell">
    <xdr:from>
      <xdr:col>8</xdr:col>
      <xdr:colOff>3504642</xdr:colOff>
      <xdr:row>0</xdr:row>
      <xdr:rowOff>0</xdr:rowOff>
    </xdr:from>
    <xdr:to>
      <xdr:col>8</xdr:col>
      <xdr:colOff>4898842</xdr:colOff>
      <xdr:row>0</xdr:row>
      <xdr:rowOff>914400</xdr:rowOff>
    </xdr:to>
    <xdr:pic>
      <xdr:nvPicPr>
        <xdr:cNvPr id="11" name="Picture 10">
          <a:hlinkClick xmlns:r="http://schemas.openxmlformats.org/officeDocument/2006/relationships" r:id="rId9"/>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11448492" y="0"/>
          <a:ext cx="1394200" cy="914400"/>
        </a:xfrm>
        <a:prstGeom prst="rect">
          <a:avLst/>
        </a:prstGeom>
      </xdr:spPr>
    </xdr:pic>
    <xdr:clientData/>
  </xdr:twoCellAnchor>
  <xdr:twoCellAnchor editAs="oneCell">
    <xdr:from>
      <xdr:col>5</xdr:col>
      <xdr:colOff>511691</xdr:colOff>
      <xdr:row>0</xdr:row>
      <xdr:rowOff>0</xdr:rowOff>
    </xdr:from>
    <xdr:to>
      <xdr:col>8</xdr:col>
      <xdr:colOff>208098</xdr:colOff>
      <xdr:row>0</xdr:row>
      <xdr:rowOff>914400</xdr:rowOff>
    </xdr:to>
    <xdr:pic>
      <xdr:nvPicPr>
        <xdr:cNvPr id="12" name="Picture 11">
          <a:hlinkClick xmlns:r="http://schemas.openxmlformats.org/officeDocument/2006/relationships" r:id="rId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2"/>
        <a:stretch>
          <a:fillRect/>
        </a:stretch>
      </xdr:blipFill>
      <xdr:spPr>
        <a:xfrm>
          <a:off x="6655316" y="0"/>
          <a:ext cx="1496632" cy="914400"/>
        </a:xfrm>
        <a:prstGeom prst="rect">
          <a:avLst/>
        </a:prstGeom>
      </xdr:spPr>
    </xdr:pic>
    <xdr:clientData/>
  </xdr:twoCellAnchor>
  <xdr:twoCellAnchor editAs="oneCell">
    <xdr:from>
      <xdr:col>3</xdr:col>
      <xdr:colOff>95250</xdr:colOff>
      <xdr:row>0</xdr:row>
      <xdr:rowOff>1</xdr:rowOff>
    </xdr:from>
    <xdr:to>
      <xdr:col>5</xdr:col>
      <xdr:colOff>374168</xdr:colOff>
      <xdr:row>0</xdr:row>
      <xdr:rowOff>914401</xdr:rowOff>
    </xdr:to>
    <xdr:pic>
      <xdr:nvPicPr>
        <xdr:cNvPr id="8" name="Picture 7">
          <a:hlinkClick xmlns:r="http://schemas.openxmlformats.org/officeDocument/2006/relationships" r:id="rId13"/>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4"/>
        <a:stretch>
          <a:fillRect/>
        </a:stretch>
      </xdr:blipFill>
      <xdr:spPr>
        <a:xfrm>
          <a:off x="5038725" y="1"/>
          <a:ext cx="1479068"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133350</xdr:colOff>
      <xdr:row>2</xdr:row>
      <xdr:rowOff>152400</xdr:rowOff>
    </xdr:from>
    <xdr:to>
      <xdr:col>19</xdr:col>
      <xdr:colOff>142875</xdr:colOff>
      <xdr:row>40</xdr:row>
      <xdr:rowOff>9525</xdr:rowOff>
    </xdr:to>
    <xdr:pic>
      <xdr:nvPicPr>
        <xdr:cNvPr id="5" name="Picture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609600"/>
          <a:ext cx="11591925" cy="7096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4" name="Card" displayName="Card" ref="A2:L15" totalsRowShown="0" headerRowDxfId="41" headerRowBorderDxfId="40" tableBorderDxfId="39" totalsRowBorderDxfId="38">
  <tableColumns count="12">
    <tableColumn id="7" name="Num" dataDxfId="37" dataCellStyle="20% - Accent5"/>
    <tableColumn id="1" name="Questions" dataDxfId="36" dataCellStyle="20% - Accent5"/>
    <tableColumn id="2" name="Answers" dataDxfId="35"/>
    <tableColumn id="5" name="APC" dataDxfId="34" dataCellStyle="Accent1">
      <calculatedColumnFormula>IF(Card[[#This Row],[I AM]]&lt;&gt;25,VLOOKUP(VLOOKUP(Card[[#This Row],[CurLookup]],AnsLkupByUniqueKey,4,FALSE),AnswerLkup,2,FALSE)," ")</calculatedColumnFormula>
    </tableColumn>
    <tableColumn id="10" name="APD" dataDxfId="33">
      <calculatedColumnFormula>IF(Card[[#This Row],[I AM]]&lt;&gt;25,VLOOKUP(VLOOKUP(Card[[#This Row],[CurLookup]],AnsLkupByUniqueKey,5,FALSE),AnswerLkup,2,FALSE)," ")</calculatedColumnFormula>
    </tableColumn>
    <tableColumn id="3" name="APSD" dataDxfId="32">
      <calculatedColumnFormula>IF(Card[[#This Row],[I AM]]&lt;&gt;25,VLOOKUP(VLOOKUP(Card[[#This Row],[CurLookup]],AnsLkupByUniqueKey,6,FALSE),AnswerLkup,2,FALSE)," ")</calculatedColumnFormula>
    </tableColumn>
    <tableColumn id="6" name="SPD" dataDxfId="31">
      <calculatedColumnFormula>IF(Card[[#This Row],[I AM]]&lt;&gt;25,VLOOKUP(VLOOKUP(Card[[#This Row],[CurLookup]],AnsLkupByUniqueKey,7,FALSE),AnswerLkup,2,FALSE)," ")</calculatedColumnFormula>
    </tableColumn>
    <tableColumn id="4" name="VPDS" dataDxfId="30">
      <calculatedColumnFormula>IF(Card[[#This Row],[I AM]]&lt;&gt;25,VLOOKUP(VLOOKUP(Card[[#This Row],[CurLookup]],AnsLkupByUniqueKey,8,FALSE),AnswerLkup,2,FALSE)," ")</calculatedColumnFormula>
    </tableColumn>
    <tableColumn id="9" name="Advice" dataDxfId="29">
      <calculatedColumnFormula>IF(AND(Card[[#This Row],[CurLookup]]&lt;&gt;"",Card[[#This Row],[I AM]] &lt;&gt; 3000),VLOOKUP(Card[[#This Row],[CurLookup]],AnsLkupByUniqueKey,9,FALSE),"NA")</calculatedColumnFormula>
    </tableColumn>
    <tableColumn id="8" name="I AM"/>
    <tableColumn id="11" name="Click to Learn More" dataDxfId="28">
      <calculatedColumnFormula>HYPERLINK(VLOOKUP(Card[[#This Row],[I AM]],QuestionLkup,3,FALSE),VLOOKUP(Card[[#This Row],[I AM]],QuestionLkup,4,FALSE))</calculatedColumnFormula>
    </tableColumn>
    <tableColumn id="12" name="CurLookup"/>
  </tableColumns>
  <tableStyleInfo name="TableStyleLight15" showFirstColumn="0" showLastColumn="0" showRowStripes="1" showColumnStripes="0"/>
</table>
</file>

<file path=xl/tables/table2.xml><?xml version="1.0" encoding="utf-8"?>
<table xmlns="http://schemas.openxmlformats.org/spreadsheetml/2006/main" id="2" name="Table2" displayName="Table2" ref="A1:D20" totalsRowShown="0">
  <autoFilter ref="A1:D20"/>
  <sortState ref="A2:D26">
    <sortCondition ref="A1:A26"/>
  </sortState>
  <tableColumns count="4">
    <tableColumn id="1" name="Num" dataCellStyle="Heading 4"/>
    <tableColumn id="11" name="Question" dataCellStyle="Heading 4">
      <calculatedColumnFormula>VLOOKUP(Table2[[#This Row],[Num]],CardLkup,3,FALSE)</calculatedColumnFormula>
    </tableColumn>
    <tableColumn id="20" name="Learn more links" dataDxfId="27"/>
    <tableColumn id="21" name="Learn more link description" dataDxfId="26"/>
  </tableColumns>
  <tableStyleInfo name="TableStyleMedium9" showFirstColumn="0" showLastColumn="0" showRowStripes="1" showColumnStripes="0"/>
</table>
</file>

<file path=xl/tables/table3.xml><?xml version="1.0" encoding="utf-8"?>
<table xmlns="http://schemas.openxmlformats.org/spreadsheetml/2006/main" id="7" name="Answer_Table" displayName="Answer_Table" ref="A1:L65" totalsRowShown="0" headerRowDxfId="25" dataDxfId="24">
  <sortState ref="A2:L69">
    <sortCondition ref="A66"/>
  </sortState>
  <tableColumns count="12">
    <tableColumn id="1" name="Q#" dataDxfId="23"/>
    <tableColumn id="2" name="Question" dataDxfId="22">
      <calculatedColumnFormula>VLOOKUP(Answer_Table[[#This Row],[Q'#]],QuestionLkup,2,FALSE)</calculatedColumnFormula>
    </tableColumn>
    <tableColumn id="3" name="Answer" dataDxfId="21"/>
    <tableColumn id="13" name="Unique Key" dataDxfId="20">
      <calculatedColumnFormula>CONCATENATE(Answer_Table[[#This Row],[Q'#]],"*",Answer_Table[[#This Row],[Answer]])</calculatedColumnFormula>
    </tableColumn>
    <tableColumn id="4" name="NextQ" dataDxfId="19"/>
    <tableColumn id="11" name="Not used don't delete" dataDxfId="18"/>
    <tableColumn id="5" name="APC" dataDxfId="17"/>
    <tableColumn id="6" name="APD" dataDxfId="16"/>
    <tableColumn id="7" name="APSD" dataDxfId="15"/>
    <tableColumn id="8" name="SPD" dataDxfId="14"/>
    <tableColumn id="9" name="VPDS" dataDxfId="13"/>
    <tableColumn id="10" name="Advice" dataDxfId="12"/>
  </tableColumns>
  <tableStyleInfo name="TableStyleMedium9" showFirstColumn="0" showLastColumn="0" showRowStripes="1" showColumnStripes="0"/>
</table>
</file>

<file path=xl/tables/table4.xml><?xml version="1.0" encoding="utf-8"?>
<table xmlns="http://schemas.openxmlformats.org/spreadsheetml/2006/main" id="8" name="Scoring" displayName="Scoring" ref="A1:E13" totalsRowShown="0" headerRowDxfId="11" headerRowBorderDxfId="10" tableBorderDxfId="9" headerRowCellStyle="Hyperlink">
  <tableColumns count="5">
    <tableColumn id="1" name="APC">
      <calculatedColumnFormula>VLOOKUP(Card!D3,AnswerReverseLkup,2,FALSE)</calculatedColumnFormula>
    </tableColumn>
    <tableColumn id="2" name="APD">
      <calculatedColumnFormula>VLOOKUP(Card!E3,AnswerReverseLkup,2,FALSE)</calculatedColumnFormula>
    </tableColumn>
    <tableColumn id="3" name="APSD">
      <calculatedColumnFormula>VLOOKUP(Card!F3,AnswerReverseLkup,2,FALSE)</calculatedColumnFormula>
    </tableColumn>
    <tableColumn id="4" name="SPD">
      <calculatedColumnFormula>VLOOKUP(Card!G3,AnswerReverseLkup,2,FALSE)</calculatedColumnFormula>
    </tableColumn>
    <tableColumn id="5" name="VPDS">
      <calculatedColumnFormula>VLOOKUP(Card!H3,AnswerReverseLkup,2,FALSE)</calculatedColumnFormula>
    </tableColumn>
  </tableColumns>
  <tableStyleInfo name="TableStyleLight20" showFirstColumn="0" showLastColumn="0" showRowStripes="1" showColumnStripes="0"/>
</table>
</file>

<file path=xl/tables/table5.xml><?xml version="1.0" encoding="utf-8"?>
<table xmlns="http://schemas.openxmlformats.org/spreadsheetml/2006/main" id="3" name="Analysis" displayName="Analysis" ref="A2:D5" totalsRowShown="0" headerRowDxfId="6" dataDxfId="5">
  <tableColumns count="4">
    <tableColumn id="1" name="Condition" dataDxfId="4"/>
    <tableColumn id="2" name="Value" dataDxfId="3">
      <calculatedColumnFormula>IF(VLOOKUP(4,QuestionLkup,3,FALSE)="Y","Use by One",IF(VLOOKUP(5,QuestionLkup,3,FALSE)="Y","Use by Some","Use by All"))</calculatedColumnFormula>
    </tableColumn>
    <tableColumn id="3" name="Guidance" dataDxfId="2"/>
    <tableColumn id="4" name="Relevant architecture principals" dataDxfId="1"/>
  </tableColumns>
  <tableStyleInfo name="TableStyleMedium15" showFirstColumn="1" showLastColumn="0" showRowStripes="1" showColumnStripes="0"/>
</table>
</file>

<file path=xl/tables/table6.xml><?xml version="1.0" encoding="utf-8"?>
<table xmlns="http://schemas.openxmlformats.org/spreadsheetml/2006/main" id="5" name="Table5" displayName="Table5" ref="A1:C7" totalsRowShown="0">
  <tableColumns count="3">
    <tableColumn id="1" name="Val"/>
    <tableColumn id="2" name="Meaning"/>
    <tableColumn id="3" name="ValForLkup" dataDxfId="0"/>
  </tableColumns>
  <tableStyleInfo name="TableStyleMedium11" showFirstColumn="0" showLastColumn="0" showRowStripes="1" showColumnStripes="0"/>
</table>
</file>

<file path=xl/tables/table7.xml><?xml version="1.0" encoding="utf-8"?>
<table xmlns="http://schemas.openxmlformats.org/spreadsheetml/2006/main" id="1" name="NextQStackNextQ" displayName="NextQStackNextQ" ref="D1:D2" totalsRowShown="0">
  <autoFilter ref="D1:D2"/>
  <tableColumns count="1">
    <tableColumn id="1" name="PopPtr"/>
  </tableColumns>
  <tableStyleInfo name="TableStyleLight16" showFirstColumn="0" showLastColumn="0" showRowStripes="1" showColumnStripes="0"/>
</table>
</file>

<file path=xl/tables/table8.xml><?xml version="1.0" encoding="utf-8"?>
<table xmlns="http://schemas.openxmlformats.org/spreadsheetml/2006/main" id="6" name="StackNextOpenPtr" displayName="StackNextOpenPtr" ref="F1:F2" totalsRowShown="0">
  <autoFilter ref="F1:F2"/>
  <tableColumns count="1">
    <tableColumn id="1" name="NextOpen"/>
  </tableColumns>
  <tableStyleInfo name="TableStyleLight21" showFirstColumn="0" showLastColumn="0" showRowStripes="1" showColumnStripes="0"/>
</table>
</file>

<file path=xl/tables/table9.xml><?xml version="1.0" encoding="utf-8"?>
<table xmlns="http://schemas.openxmlformats.org/spreadsheetml/2006/main" id="9" name="NextQStack" displayName="NextQStack" ref="A1:A27" totalsRowShown="0">
  <autoFilter ref="A1:A27"/>
  <tableColumns count="1">
    <tableColumn id="1" name="NextQuestion"/>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ontrol" Target="../activeX/activeX3.xml"/><Relationship Id="rId18" Type="http://schemas.openxmlformats.org/officeDocument/2006/relationships/image" Target="../media/image5.emf"/><Relationship Id="rId26" Type="http://schemas.openxmlformats.org/officeDocument/2006/relationships/image" Target="../media/image9.emf"/><Relationship Id="rId3" Type="http://schemas.openxmlformats.org/officeDocument/2006/relationships/hyperlink" Target="http://sharepoint.fhr.com/IT/InformationArchitecture/IAMasterDataManagement/_layouts/listform.aspx?PageType=4&amp;ListId=%7bE6971854-779D-4810-848C-0652E35E981F%7d&amp;ID=6&amp;ContentTypeID=0x0100B9A2536B1FA28D46A215D69F2A635805" TargetMode="External"/><Relationship Id="rId21" Type="http://schemas.openxmlformats.org/officeDocument/2006/relationships/control" Target="../activeX/activeX7.xml"/><Relationship Id="rId34" Type="http://schemas.openxmlformats.org/officeDocument/2006/relationships/image" Target="../media/image13.emf"/><Relationship Id="rId7" Type="http://schemas.openxmlformats.org/officeDocument/2006/relationships/drawing" Target="../drawings/drawing1.xml"/><Relationship Id="rId12" Type="http://schemas.openxmlformats.org/officeDocument/2006/relationships/image" Target="../media/image2.emf"/><Relationship Id="rId17" Type="http://schemas.openxmlformats.org/officeDocument/2006/relationships/control" Target="../activeX/activeX5.xml"/><Relationship Id="rId25" Type="http://schemas.openxmlformats.org/officeDocument/2006/relationships/control" Target="../activeX/activeX9.xml"/><Relationship Id="rId33" Type="http://schemas.openxmlformats.org/officeDocument/2006/relationships/control" Target="../activeX/activeX13.xml"/><Relationship Id="rId2" Type="http://schemas.openxmlformats.org/officeDocument/2006/relationships/hyperlink" Target="http://sharepoint.fhr.com/IT/InformationArchitecture/IAMasterDataManagement/_layouts/listform.aspx?PageType=4&amp;ListId=%7bE6971854-779D-4810-848C-0652E35E981F%7d&amp;ID=3&amp;ContentTypeID=0x0100B9A2536B1FA28D46A215D69F2A635805" TargetMode="External"/><Relationship Id="rId16" Type="http://schemas.openxmlformats.org/officeDocument/2006/relationships/image" Target="../media/image4.emf"/><Relationship Id="rId20" Type="http://schemas.openxmlformats.org/officeDocument/2006/relationships/image" Target="../media/image6.emf"/><Relationship Id="rId29" Type="http://schemas.openxmlformats.org/officeDocument/2006/relationships/control" Target="../activeX/activeX11.xml"/><Relationship Id="rId1" Type="http://schemas.openxmlformats.org/officeDocument/2006/relationships/hyperlink" Target="http://sharepoint.fhr.com/IT/InformationArchitecture/IAMasterDataManagement/_layouts/listform.aspx?PageType=4&amp;ListId=%7bE6971854-779D-4810-848C-0652E35E981F%7d&amp;ID=1&amp;ContentTypeID=0x0100B9A2536B1FA28D46A215D69F2A635805" TargetMode="External"/><Relationship Id="rId6" Type="http://schemas.openxmlformats.org/officeDocument/2006/relationships/printerSettings" Target="../printerSettings/printerSettings1.bin"/><Relationship Id="rId11" Type="http://schemas.openxmlformats.org/officeDocument/2006/relationships/control" Target="../activeX/activeX2.xml"/><Relationship Id="rId24" Type="http://schemas.openxmlformats.org/officeDocument/2006/relationships/image" Target="../media/image8.emf"/><Relationship Id="rId32" Type="http://schemas.openxmlformats.org/officeDocument/2006/relationships/image" Target="../media/image12.emf"/><Relationship Id="rId5" Type="http://schemas.openxmlformats.org/officeDocument/2006/relationships/hyperlink" Target="http://sharepoint.fhr.com/IT/InformationArchitecture/IAMasterDataManagement/_layouts/listform.aspx?PageType=4&amp;ListId=%7bE6971854-779D-4810-848C-0652E35E981F%7d&amp;ID=2&amp;ContentTypeID=0x0100B9A2536B1FA28D46A215D69F2A635805" TargetMode="External"/><Relationship Id="rId15" Type="http://schemas.openxmlformats.org/officeDocument/2006/relationships/control" Target="../activeX/activeX4.xml"/><Relationship Id="rId23" Type="http://schemas.openxmlformats.org/officeDocument/2006/relationships/control" Target="../activeX/activeX8.xml"/><Relationship Id="rId28" Type="http://schemas.openxmlformats.org/officeDocument/2006/relationships/image" Target="../media/image10.emf"/><Relationship Id="rId10" Type="http://schemas.openxmlformats.org/officeDocument/2006/relationships/image" Target="../media/image1.emf"/><Relationship Id="rId19" Type="http://schemas.openxmlformats.org/officeDocument/2006/relationships/control" Target="../activeX/activeX6.xml"/><Relationship Id="rId31" Type="http://schemas.openxmlformats.org/officeDocument/2006/relationships/control" Target="../activeX/activeX12.xml"/><Relationship Id="rId4" Type="http://schemas.openxmlformats.org/officeDocument/2006/relationships/hyperlink" Target="http://sharepoint.fhr.com/IT/InformationArchitecture/IAMasterDataManagement/_layouts/listform.aspx?PageType=4&amp;ListId=%7bE6971854-779D-4810-848C-0652E35E981F%7d&amp;ID=4&amp;ContentTypeID=0x0100B9A2536B1FA28D46A215D69F2A635805" TargetMode="External"/><Relationship Id="rId9" Type="http://schemas.openxmlformats.org/officeDocument/2006/relationships/control" Target="../activeX/activeX1.xml"/><Relationship Id="rId14" Type="http://schemas.openxmlformats.org/officeDocument/2006/relationships/image" Target="../media/image3.emf"/><Relationship Id="rId22" Type="http://schemas.openxmlformats.org/officeDocument/2006/relationships/image" Target="../media/image7.emf"/><Relationship Id="rId27" Type="http://schemas.openxmlformats.org/officeDocument/2006/relationships/control" Target="../activeX/activeX10.xml"/><Relationship Id="rId30" Type="http://schemas.openxmlformats.org/officeDocument/2006/relationships/image" Target="../media/image11.emf"/><Relationship Id="rId3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harepoint.fhr.com/IT/InformationArchitecture/IAMasterDataManagement/MDM%20Wiki/Subject%20Areas.aspx" TargetMode="External"/><Relationship Id="rId13" Type="http://schemas.openxmlformats.org/officeDocument/2006/relationships/hyperlink" Target="http://sharepoint.fhr.com/tfssites/BI/MDMSMF/Wiki%20Pages/Home.aspx" TargetMode="External"/><Relationship Id="rId3" Type="http://schemas.openxmlformats.org/officeDocument/2006/relationships/hyperlink" Target="http://www.projectinsight.net/blogs/project-management-software-implementation-and-user-adoption-tips/building-your-own-vs-buying-commercial-off-the-shelf-software" TargetMode="External"/><Relationship Id="rId7" Type="http://schemas.openxmlformats.org/officeDocument/2006/relationships/hyperlink" Target="https://www.mountaingoatsoftware.com/blog/multiple-levels-of-done" TargetMode="External"/><Relationship Id="rId12" Type="http://schemas.openxmlformats.org/officeDocument/2006/relationships/hyperlink" Target="http://sharepoint.fhr.com/IT/InformationArchitecture/IAMasterDataManagement/MDM%20Wiki/Channel%20Ownership.aspx" TargetMode="External"/><Relationship Id="rId17" Type="http://schemas.openxmlformats.org/officeDocument/2006/relationships/table" Target="../tables/table2.xml"/><Relationship Id="rId2" Type="http://schemas.openxmlformats.org/officeDocument/2006/relationships/hyperlink" Target="http://www.datasciencecentral.com/profiles/blogs/batch-vs-real-time-data-processing" TargetMode="External"/><Relationship Id="rId16" Type="http://schemas.openxmlformats.org/officeDocument/2006/relationships/printerSettings" Target="../printerSettings/printerSettings2.bin"/><Relationship Id="rId1" Type="http://schemas.openxmlformats.org/officeDocument/2006/relationships/hyperlink" Target="http://sharepoint.fhr.com/IT/InformationArchitecture/IAMasterDataManagement/MDM%20Wiki/Things%20which%20make%20master%20data%20more%20useful.aspx?WikiPageMode=Edit&amp;InitialTabId=Ribbon.EditingTools.CPEditTab&amp;VisibilityContext=WSSWikiPage" TargetMode="External"/><Relationship Id="rId6" Type="http://schemas.openxmlformats.org/officeDocument/2006/relationships/hyperlink" Target="http://sharepoint.fhr.com/IT/InformationArchitecture/IAMasterDataManagement/_layouts/listform.aspx?PageType=4&amp;ListId=%7b5B7CEB0C-25C5-4BD6-A77D-8EBF4E722674%7d&amp;ID=3&amp;RootFolder=*" TargetMode="External"/><Relationship Id="rId11" Type="http://schemas.openxmlformats.org/officeDocument/2006/relationships/hyperlink" Target="http://sharepoint.fhr.com/IT/InformationArchitecture/IAMasterDataManagement/MDM%20Wiki/Scope%20of%20master%20data.aspx" TargetMode="External"/><Relationship Id="rId5" Type="http://schemas.openxmlformats.org/officeDocument/2006/relationships/hyperlink" Target="http://sharepoint.fhr.com/IT/InformationArchitecture/Wiki%20IA/Producers.aspx" TargetMode="External"/><Relationship Id="rId15" Type="http://schemas.openxmlformats.org/officeDocument/2006/relationships/hyperlink" Target="http://sharepoint.fhr.com/IT/InformationArchitecture/IAMasterDataManagement/SitePages/Home.aspx" TargetMode="External"/><Relationship Id="rId10" Type="http://schemas.openxmlformats.org/officeDocument/2006/relationships/hyperlink" Target="http://sharepoint.fhr.com/IT/InformationArchitecture/IAMasterDataManagement/MDM%20Wiki/Channel%20Ownership.aspx" TargetMode="External"/><Relationship Id="rId4" Type="http://schemas.openxmlformats.org/officeDocument/2006/relationships/hyperlink" Target="http://sharepoint.fhr.com/IT/InformationArchitecture/IAMasterDataManagement/MDM%20Wiki/Scope%20of%20master%20data.aspx" TargetMode="External"/><Relationship Id="rId9" Type="http://schemas.openxmlformats.org/officeDocument/2006/relationships/hyperlink" Target="http://sharepoint.fhr.com/IT/InformationArchitecture/IAMasterDataManagement/MDM%20Wiki/Channel%20Ownership.aspx" TargetMode="External"/><Relationship Id="rId14" Type="http://schemas.openxmlformats.org/officeDocument/2006/relationships/hyperlink" Target="http://sharepoint.fhr.com/IT/InformationArchitecture/Wiki%20IA/Producers.aspx"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http://sharepoint.fhr.com/IT/InformationArchitecture/IAMasterDataManagement/_layouts/listform.aspx?PageType=4&amp;ListId=%7bE6971854-779D-4810-848C-0652E35E981F%7d&amp;ID=6&amp;ContentTypeID=0x0100B9A2536B1FA28D46A215D69F2A635805" TargetMode="External"/><Relationship Id="rId7" Type="http://schemas.openxmlformats.org/officeDocument/2006/relationships/vmlDrawing" Target="../drawings/vmlDrawing2.vml"/><Relationship Id="rId2" Type="http://schemas.openxmlformats.org/officeDocument/2006/relationships/hyperlink" Target="http://sharepoint.fhr.com/IT/InformationArchitecture/IAMasterDataManagement/_layouts/listform.aspx?PageType=4&amp;ListId=%7bE6971854-779D-4810-848C-0652E35E981F%7d&amp;ID=3&amp;ContentTypeID=0x0100B9A2536B1FA28D46A215D69F2A635805" TargetMode="External"/><Relationship Id="rId1" Type="http://schemas.openxmlformats.org/officeDocument/2006/relationships/hyperlink" Target="http://sharepoint.fhr.com/IT/InformationArchitecture/IAMasterDataManagement/_layouts/listform.aspx?PageType=4&amp;ListId=%7bE6971854-779D-4810-848C-0652E35E981F%7d&amp;ID=1&amp;ContentTypeID=0x0100B9A2536B1FA28D46A215D69F2A635805" TargetMode="External"/><Relationship Id="rId6" Type="http://schemas.openxmlformats.org/officeDocument/2006/relationships/printerSettings" Target="../printerSettings/printerSettings3.bin"/><Relationship Id="rId5" Type="http://schemas.openxmlformats.org/officeDocument/2006/relationships/hyperlink" Target="http://sharepoint.fhr.com/IT/InformationArchitecture/IAMasterDataManagement/_layouts/listform.aspx?PageType=4&amp;ListId=%7bE6971854-779D-4810-848C-0652E35E981F%7d&amp;ID=2&amp;ContentTypeID=0x0100B9A2536B1FA28D46A215D69F2A635805" TargetMode="External"/><Relationship Id="rId4" Type="http://schemas.openxmlformats.org/officeDocument/2006/relationships/hyperlink" Target="http://sharepoint.fhr.com/IT/InformationArchitecture/IAMasterDataManagement/_layouts/listform.aspx?PageType=4&amp;ListId=%7bE6971854-779D-4810-848C-0652E35E981F%7d&amp;ID=4&amp;ContentTypeID=0x0100B9A2536B1FA28D46A215D69F2A635805" TargetMode="Externa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sharepoint.fhr.com/IT/InformationArchitecture/IAMasterDataManagement/_layouts/listform.aspx?PageType=4&amp;ListId=%7bE6971854-779D-4810-848C-0652E35E981F%7d&amp;ID=6&amp;ContentTypeID=0x0100B9A2536B1FA28D46A215D69F2A635805" TargetMode="External"/><Relationship Id="rId7" Type="http://schemas.openxmlformats.org/officeDocument/2006/relationships/table" Target="../tables/table4.xml"/><Relationship Id="rId2" Type="http://schemas.openxmlformats.org/officeDocument/2006/relationships/hyperlink" Target="http://sharepoint.fhr.com/IT/InformationArchitecture/IAMasterDataManagement/_layouts/listform.aspx?PageType=4&amp;ListId=%7bE6971854-779D-4810-848C-0652E35E981F%7d&amp;ID=3&amp;ContentTypeID=0x0100B9A2536B1FA28D46A215D69F2A635805" TargetMode="External"/><Relationship Id="rId1" Type="http://schemas.openxmlformats.org/officeDocument/2006/relationships/hyperlink" Target="http://sharepoint.fhr.com/IT/InformationArchitecture/IAMasterDataManagement/_layouts/listform.aspx?PageType=4&amp;ListId=%7bE6971854-779D-4810-848C-0652E35E981F%7d&amp;ID=1&amp;ContentTypeID=0x0100B9A2536B1FA28D46A215D69F2A635805" TargetMode="External"/><Relationship Id="rId6" Type="http://schemas.openxmlformats.org/officeDocument/2006/relationships/vmlDrawing" Target="../drawings/vmlDrawing3.vml"/><Relationship Id="rId5" Type="http://schemas.openxmlformats.org/officeDocument/2006/relationships/hyperlink" Target="http://sharepoint.fhr.com/IT/InformationArchitecture/IAMasterDataManagement/_layouts/listform.aspx?PageType=4&amp;ListId=%7bE6971854-779D-4810-848C-0652E35E981F%7d&amp;ID=2&amp;ContentTypeID=0x0100B9A2536B1FA28D46A215D69F2A635805" TargetMode="External"/><Relationship Id="rId4" Type="http://schemas.openxmlformats.org/officeDocument/2006/relationships/hyperlink" Target="http://sharepoint.fhr.com/IT/InformationArchitecture/IAMasterDataManagement/_layouts/listform.aspx?PageType=4&amp;ListId=%7bE6971854-779D-4810-848C-0652E35E981F%7d&amp;ID=4&amp;ContentTypeID=0x0100B9A2536B1FA28D46A215D69F2A635805"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etTheWorkSheet">
    <tabColor rgb="FF006100"/>
  </sheetPr>
  <dimension ref="A1:L39"/>
  <sheetViews>
    <sheetView showGridLines="0" workbookViewId="0">
      <pane ySplit="2" topLeftCell="A3" activePane="bottomLeft" state="frozen"/>
      <selection pane="bottomLeft" activeCell="E4" sqref="E4"/>
    </sheetView>
  </sheetViews>
  <sheetFormatPr defaultRowHeight="15" x14ac:dyDescent="0.25"/>
  <cols>
    <col min="1" max="1" width="3" customWidth="1"/>
    <col min="2" max="2" width="51.7109375" customWidth="1"/>
    <col min="3" max="3" width="19.42578125" customWidth="1"/>
    <col min="4" max="8" width="9" customWidth="1"/>
    <col min="9" max="9" width="107.7109375" customWidth="1"/>
    <col min="10" max="10" width="4.85546875" hidden="1" customWidth="1"/>
    <col min="11" max="11" width="20.28515625" customWidth="1"/>
    <col min="12" max="12" width="17.5703125" hidden="1" customWidth="1"/>
  </cols>
  <sheetData>
    <row r="1" spans="1:12" ht="108.75" customHeight="1" x14ac:dyDescent="0.35">
      <c r="A1" s="75"/>
      <c r="B1" s="74" t="s">
        <v>161</v>
      </c>
      <c r="C1" s="37"/>
      <c r="D1" s="76"/>
      <c r="E1" s="77"/>
      <c r="F1" s="77"/>
      <c r="G1" s="77"/>
      <c r="H1" s="77"/>
    </row>
    <row r="2" spans="1:12" x14ac:dyDescent="0.25">
      <c r="A2" s="43" t="s">
        <v>3</v>
      </c>
      <c r="B2" s="44" t="s">
        <v>30</v>
      </c>
      <c r="C2" s="45" t="s">
        <v>76</v>
      </c>
      <c r="D2" s="46" t="s">
        <v>2</v>
      </c>
      <c r="E2" s="47" t="s">
        <v>12</v>
      </c>
      <c r="F2" s="46" t="s">
        <v>0</v>
      </c>
      <c r="G2" s="46" t="s">
        <v>1</v>
      </c>
      <c r="H2" s="66" t="s">
        <v>31</v>
      </c>
      <c r="I2" s="48" t="s">
        <v>10</v>
      </c>
      <c r="J2" s="27" t="s">
        <v>13</v>
      </c>
      <c r="K2" s="62" t="s">
        <v>21</v>
      </c>
      <c r="L2" s="28" t="s">
        <v>87</v>
      </c>
    </row>
    <row r="3" spans="1:12" ht="34.5" customHeight="1" thickBot="1" x14ac:dyDescent="0.3">
      <c r="A3" s="49">
        <v>1</v>
      </c>
      <c r="B3" s="68" t="str">
        <f>VLOOKUP(Card[[#This Row],[I AM]],QuestionLkup,2,FALSE)</f>
        <v>Will master data related items be created such as relationships or cross references?</v>
      </c>
      <c r="C3" s="69"/>
      <c r="D3" s="70" t="str">
        <f>IF(Card[[#This Row],[I AM]]&lt;&gt;3000,VLOOKUP(VLOOKUP(Card[[#This Row],[CurLookup]],AnsLkupByUniqueKey,4,FALSE),AnswerLkup,2,FALSE)," ")</f>
        <v>NA</v>
      </c>
      <c r="E3" s="70" t="str">
        <f>IF(Card[[#This Row],[I AM]]&lt;&gt;3000,VLOOKUP(VLOOKUP(Card[[#This Row],[CurLookup]],AnsLkupByUniqueKey,5,FALSE),AnswerLkup,2,FALSE)," ")</f>
        <v>NA</v>
      </c>
      <c r="F3" s="70" t="str">
        <f>IF(Card[[#This Row],[I AM]]&lt;&gt;3000,VLOOKUP(VLOOKUP(Card[[#This Row],[CurLookup]],AnsLkupByUniqueKey,6,FALSE),AnswerLkup,2,FALSE)," ")</f>
        <v>Consider</v>
      </c>
      <c r="G3" s="70" t="str">
        <f>IF(Card[[#This Row],[I AM]]&lt;&gt;3000,VLOOKUP(VLOOKUP(Card[[#This Row],[CurLookup]],AnsLkupByUniqueKey,7,FALSE),AnswerLkup,2,FALSE)," ")</f>
        <v>Consider</v>
      </c>
      <c r="H3" s="70" t="str">
        <f>IF(Card[[#This Row],[I AM]]&lt;&gt;3000,VLOOKUP(VLOOKUP(Card[[#This Row],[CurLookup]],AnsLkupByUniqueKey,8,FALSE),AnswerLkup,2,FALSE)," ")</f>
        <v>NA</v>
      </c>
      <c r="I3" s="71" t="str">
        <f>IF(AND(Card[[#This Row],[CurLookup]]&lt;&gt;"",Card[[#This Row],[I AM]] &lt;&gt; 3000),VLOOKUP(Card[[#This Row],[CurLookup]],AnsLkupByUniqueKey,9,FALSE),"NA")</f>
        <v>Consider using the SMF for distribution since it supports some key master data support artifacts.  Vendor applications may also provide some master data management capabilities if SMF will not be used</v>
      </c>
      <c r="J3" s="72">
        <v>1</v>
      </c>
      <c r="K3" s="73" t="str">
        <f>HYPERLINK(VLOOKUP(Card[[#This Row],[I AM]],QuestionLkup,3,FALSE),VLOOKUP(Card[[#This Row],[I AM]],QuestionLkup,4,FALSE))</f>
        <v>Make master data more useful</v>
      </c>
      <c r="L3" t="s">
        <v>162</v>
      </c>
    </row>
    <row r="4" spans="1:12" ht="34.5" customHeight="1" thickBot="1" x14ac:dyDescent="0.3">
      <c r="A4" s="49">
        <v>2</v>
      </c>
      <c r="B4" s="50" t="str">
        <f>VLOOKUP(Card[[#This Row],[I AM]],QuestionLkup,2,FALSE)</f>
        <v>Will master data be produced and/or consumed as part of the effort?</v>
      </c>
      <c r="C4" s="51"/>
      <c r="D4" s="52" t="str">
        <f>IF(Card[[#This Row],[I AM]]&lt;&gt;3000,VLOOKUP(VLOOKUP(Card[[#This Row],[CurLookup]],AnsLkupByUniqueKey,4,FALSE),AnswerLkup,2,FALSE)," ")</f>
        <v>NA</v>
      </c>
      <c r="E4" s="52" t="str">
        <f>IF(Card[[#This Row],[I AM]]&lt;&gt;3000,VLOOKUP(VLOOKUP(Card[[#This Row],[CurLookup]],AnsLkupByUniqueKey,5,FALSE),AnswerLkup,2,FALSE)," ")</f>
        <v>NA</v>
      </c>
      <c r="F4" s="52" t="str">
        <f>IF(Card[[#This Row],[I AM]]&lt;&gt;3000,VLOOKUP(VLOOKUP(Card[[#This Row],[CurLookup]],AnsLkupByUniqueKey,6,FALSE),AnswerLkup,2,FALSE)," ")</f>
        <v>NA</v>
      </c>
      <c r="G4" s="52" t="str">
        <f>IF(Card[[#This Row],[I AM]]&lt;&gt;3000,VLOOKUP(VLOOKUP(Card[[#This Row],[CurLookup]],AnsLkupByUniqueKey,7,FALSE),AnswerLkup,2,FALSE)," ")</f>
        <v>NA</v>
      </c>
      <c r="H4" s="52" t="str">
        <f>IF(Card[[#This Row],[I AM]]&lt;&gt;3000,VLOOKUP(VLOOKUP(Card[[#This Row],[CurLookup]],AnsLkupByUniqueKey,8,FALSE),AnswerLkup,2,FALSE)," ")</f>
        <v>NA</v>
      </c>
      <c r="I4" s="53" t="str">
        <f>IF(AND(Card[[#This Row],[CurLookup]]&lt;&gt;"",Card[[#This Row],[I AM]] &lt;&gt; 3000),VLOOKUP(Card[[#This Row],[CurLookup]],AnsLkupByUniqueKey,9,FALSE),"NA")</f>
        <v xml:space="preserve">If the effort will include master data being produced, distributed and/or consumed then select yes.  Read up on what master data is by clicking on the helpful link to the right.  </v>
      </c>
      <c r="J4">
        <v>2</v>
      </c>
      <c r="K4" s="63" t="str">
        <f>HYPERLINK(VLOOKUP(Card[[#This Row],[I AM]],QuestionLkup,3,FALSE),VLOOKUP(Card[[#This Row],[I AM]],QuestionLkup,4,FALSE))</f>
        <v>Which data is master data?</v>
      </c>
      <c r="L4" t="s">
        <v>163</v>
      </c>
    </row>
    <row r="5" spans="1:12" ht="34.5" customHeight="1" thickBot="1" x14ac:dyDescent="0.3">
      <c r="A5" s="49">
        <v>3</v>
      </c>
      <c r="B5" s="50" t="str">
        <f>VLOOKUP(Card[[#This Row],[I AM]],QuestionLkup,2,FALSE)</f>
        <v>No Question</v>
      </c>
      <c r="C5" s="51"/>
      <c r="D5" s="52" t="str">
        <f>IF(Card[[#This Row],[I AM]]&lt;&gt;3000,VLOOKUP(VLOOKUP(Card[[#This Row],[CurLookup]],AnsLkupByUniqueKey,4,FALSE),AnswerLkup,2,FALSE)," ")</f>
        <v xml:space="preserve"> </v>
      </c>
      <c r="E5" s="52" t="str">
        <f>IF(Card[[#This Row],[I AM]]&lt;&gt;3000,VLOOKUP(VLOOKUP(Card[[#This Row],[CurLookup]],AnsLkupByUniqueKey,5,FALSE),AnswerLkup,2,FALSE)," ")</f>
        <v xml:space="preserve"> </v>
      </c>
      <c r="F5" s="52" t="str">
        <f>IF(Card[[#This Row],[I AM]]&lt;&gt;3000,VLOOKUP(VLOOKUP(Card[[#This Row],[CurLookup]],AnsLkupByUniqueKey,6,FALSE),AnswerLkup,2,FALSE)," ")</f>
        <v xml:space="preserve"> </v>
      </c>
      <c r="G5" s="52" t="str">
        <f>IF(Card[[#This Row],[I AM]]&lt;&gt;3000,VLOOKUP(VLOOKUP(Card[[#This Row],[CurLookup]],AnsLkupByUniqueKey,7,FALSE),AnswerLkup,2,FALSE)," ")</f>
        <v xml:space="preserve"> </v>
      </c>
      <c r="H5" s="52" t="str">
        <f>IF(Card[[#This Row],[I AM]]&lt;&gt;3000,VLOOKUP(VLOOKUP(Card[[#This Row],[CurLookup]],AnsLkupByUniqueKey,8,FALSE),AnswerLkup,2,FALSE)," ")</f>
        <v xml:space="preserve"> </v>
      </c>
      <c r="I5" s="53" t="str">
        <f>IF(AND(Card[[#This Row],[CurLookup]]&lt;&gt;"",Card[[#This Row],[I AM]] &lt;&gt; 3000),VLOOKUP(Card[[#This Row],[CurLookup]],AnsLkupByUniqueKey,9,FALSE),"NA")</f>
        <v>NA</v>
      </c>
      <c r="J5" s="37">
        <v>3000</v>
      </c>
      <c r="K5" s="63" t="str">
        <f>HYPERLINK(VLOOKUP(Card[[#This Row],[I AM]],QuestionLkup,3,FALSE),VLOOKUP(Card[[#This Row],[I AM]],QuestionLkup,4,FALSE))</f>
        <v>Visit IA Master Data Site</v>
      </c>
    </row>
    <row r="6" spans="1:12" ht="34.5" customHeight="1" thickBot="1" x14ac:dyDescent="0.3">
      <c r="A6" s="49">
        <v>4</v>
      </c>
      <c r="B6" s="50" t="str">
        <f>VLOOKUP(Card[[#This Row],[I AM]],QuestionLkup,2,FALSE)</f>
        <v>No Question</v>
      </c>
      <c r="C6" s="51"/>
      <c r="D6" s="52" t="str">
        <f>IF(Card[[#This Row],[I AM]]&lt;&gt;3000,VLOOKUP(VLOOKUP(Card[[#This Row],[CurLookup]],AnsLkupByUniqueKey,4,FALSE),AnswerLkup,2,FALSE)," ")</f>
        <v xml:space="preserve"> </v>
      </c>
      <c r="E6" s="52" t="str">
        <f>IF(Card[[#This Row],[I AM]]&lt;&gt;3000,VLOOKUP(VLOOKUP(Card[[#This Row],[CurLookup]],AnsLkupByUniqueKey,5,FALSE),AnswerLkup,2,FALSE)," ")</f>
        <v xml:space="preserve"> </v>
      </c>
      <c r="F6" s="52" t="str">
        <f>IF(Card[[#This Row],[I AM]]&lt;&gt;3000,VLOOKUP(VLOOKUP(Card[[#This Row],[CurLookup]],AnsLkupByUniqueKey,6,FALSE),AnswerLkup,2,FALSE)," ")</f>
        <v xml:space="preserve"> </v>
      </c>
      <c r="G6" s="52" t="str">
        <f>IF(Card[[#This Row],[I AM]]&lt;&gt;3000,VLOOKUP(VLOOKUP(Card[[#This Row],[CurLookup]],AnsLkupByUniqueKey,7,FALSE),AnswerLkup,2,FALSE)," ")</f>
        <v xml:space="preserve"> </v>
      </c>
      <c r="H6" s="52" t="str">
        <f>IF(Card[[#This Row],[I AM]]&lt;&gt;3000,VLOOKUP(VLOOKUP(Card[[#This Row],[CurLookup]],AnsLkupByUniqueKey,8,FALSE),AnswerLkup,2,FALSE)," ")</f>
        <v xml:space="preserve"> </v>
      </c>
      <c r="I6" s="53" t="str">
        <f>IF(AND(Card[[#This Row],[CurLookup]]&lt;&gt;"",Card[[#This Row],[I AM]] &lt;&gt; 3000),VLOOKUP(Card[[#This Row],[CurLookup]],AnsLkupByUniqueKey,9,FALSE),"NA")</f>
        <v>NA</v>
      </c>
      <c r="J6" s="37">
        <v>3000</v>
      </c>
      <c r="K6" s="63" t="str">
        <f>HYPERLINK(VLOOKUP(Card[[#This Row],[I AM]],QuestionLkup,3,FALSE),VLOOKUP(Card[[#This Row],[I AM]],QuestionLkup,4,FALSE))</f>
        <v>Visit IA Master Data Site</v>
      </c>
    </row>
    <row r="7" spans="1:12" ht="34.5" customHeight="1" thickBot="1" x14ac:dyDescent="0.3">
      <c r="A7" s="49">
        <v>5</v>
      </c>
      <c r="B7" s="50" t="str">
        <f>VLOOKUP(Card[[#This Row],[I AM]],QuestionLkup,2,FALSE)</f>
        <v>No Question</v>
      </c>
      <c r="C7" s="51"/>
      <c r="D7" s="52" t="str">
        <f>IF(Card[[#This Row],[I AM]]&lt;&gt;3000,VLOOKUP(VLOOKUP(Card[[#This Row],[CurLookup]],AnsLkupByUniqueKey,4,FALSE),AnswerLkup,2,FALSE)," ")</f>
        <v xml:space="preserve"> </v>
      </c>
      <c r="E7" s="52" t="str">
        <f>IF(Card[[#This Row],[I AM]]&lt;&gt;3000,VLOOKUP(VLOOKUP(Card[[#This Row],[CurLookup]],AnsLkupByUniqueKey,5,FALSE),AnswerLkup,2,FALSE)," ")</f>
        <v xml:space="preserve"> </v>
      </c>
      <c r="F7" s="52" t="str">
        <f>IF(Card[[#This Row],[I AM]]&lt;&gt;3000,VLOOKUP(VLOOKUP(Card[[#This Row],[CurLookup]],AnsLkupByUniqueKey,6,FALSE),AnswerLkup,2,FALSE)," ")</f>
        <v xml:space="preserve"> </v>
      </c>
      <c r="G7" s="52" t="str">
        <f>IF(Card[[#This Row],[I AM]]&lt;&gt;3000,VLOOKUP(VLOOKUP(Card[[#This Row],[CurLookup]],AnsLkupByUniqueKey,7,FALSE),AnswerLkup,2,FALSE)," ")</f>
        <v xml:space="preserve"> </v>
      </c>
      <c r="H7" s="52" t="str">
        <f>IF(Card[[#This Row],[I AM]]&lt;&gt;3000,VLOOKUP(VLOOKUP(Card[[#This Row],[CurLookup]],AnsLkupByUniqueKey,8,FALSE),AnswerLkup,2,FALSE)," ")</f>
        <v xml:space="preserve"> </v>
      </c>
      <c r="I7" s="53" t="str">
        <f>IF(AND(Card[[#This Row],[CurLookup]]&lt;&gt;"",Card[[#This Row],[I AM]] &lt;&gt; 3000),VLOOKUP(Card[[#This Row],[CurLookup]],AnsLkupByUniqueKey,9,FALSE),"NA")</f>
        <v>NA</v>
      </c>
      <c r="J7" s="37">
        <v>3000</v>
      </c>
      <c r="K7" s="63" t="str">
        <f>HYPERLINK(VLOOKUP(Card[[#This Row],[I AM]],QuestionLkup,3,FALSE),VLOOKUP(Card[[#This Row],[I AM]],QuestionLkup,4,FALSE))</f>
        <v>Visit IA Master Data Site</v>
      </c>
    </row>
    <row r="8" spans="1:12" ht="34.5" customHeight="1" thickBot="1" x14ac:dyDescent="0.3">
      <c r="A8" s="49">
        <v>6</v>
      </c>
      <c r="B8" s="50" t="str">
        <f>VLOOKUP(Card[[#This Row],[I AM]],QuestionLkup,2,FALSE)</f>
        <v>No Question</v>
      </c>
      <c r="C8" s="51"/>
      <c r="D8" s="52" t="str">
        <f>IF(Card[[#This Row],[I AM]]&lt;&gt;3000,VLOOKUP(VLOOKUP(Card[[#This Row],[CurLookup]],AnsLkupByUniqueKey,4,FALSE),AnswerLkup,2,FALSE)," ")</f>
        <v xml:space="preserve"> </v>
      </c>
      <c r="E8" s="52" t="str">
        <f>IF(Card[[#This Row],[I AM]]&lt;&gt;3000,VLOOKUP(VLOOKUP(Card[[#This Row],[CurLookup]],AnsLkupByUniqueKey,5,FALSE),AnswerLkup,2,FALSE)," ")</f>
        <v xml:space="preserve"> </v>
      </c>
      <c r="F8" s="52" t="str">
        <f>IF(Card[[#This Row],[I AM]]&lt;&gt;3000,VLOOKUP(VLOOKUP(Card[[#This Row],[CurLookup]],AnsLkupByUniqueKey,6,FALSE),AnswerLkup,2,FALSE)," ")</f>
        <v xml:space="preserve"> </v>
      </c>
      <c r="G8" s="52" t="str">
        <f>IF(Card[[#This Row],[I AM]]&lt;&gt;3000,VLOOKUP(VLOOKUP(Card[[#This Row],[CurLookup]],AnsLkupByUniqueKey,7,FALSE),AnswerLkup,2,FALSE)," ")</f>
        <v xml:space="preserve"> </v>
      </c>
      <c r="H8" s="52" t="str">
        <f>IF(Card[[#This Row],[I AM]]&lt;&gt;3000,VLOOKUP(VLOOKUP(Card[[#This Row],[CurLookup]],AnsLkupByUniqueKey,8,FALSE),AnswerLkup,2,FALSE)," ")</f>
        <v xml:space="preserve"> </v>
      </c>
      <c r="I8" s="53" t="str">
        <f>IF(AND(Card[[#This Row],[CurLookup]]&lt;&gt;"",Card[[#This Row],[I AM]] &lt;&gt; 3000),VLOOKUP(Card[[#This Row],[CurLookup]],AnsLkupByUniqueKey,9,FALSE),"NA")</f>
        <v>NA</v>
      </c>
      <c r="J8" s="37">
        <v>3000</v>
      </c>
      <c r="K8" s="63" t="str">
        <f>HYPERLINK(VLOOKUP(Card[[#This Row],[I AM]],QuestionLkup,3,FALSE),VLOOKUP(Card[[#This Row],[I AM]],QuestionLkup,4,FALSE))</f>
        <v>Visit IA Master Data Site</v>
      </c>
    </row>
    <row r="9" spans="1:12" ht="34.5" customHeight="1" thickBot="1" x14ac:dyDescent="0.3">
      <c r="A9" s="49">
        <v>7</v>
      </c>
      <c r="B9" s="50" t="str">
        <f>VLOOKUP(Card[[#This Row],[I AM]],QuestionLkup,2,FALSE)</f>
        <v>No Question</v>
      </c>
      <c r="C9" s="51"/>
      <c r="D9" s="52" t="str">
        <f>IF(Card[[#This Row],[I AM]]&lt;&gt;3000,VLOOKUP(VLOOKUP(Card[[#This Row],[CurLookup]],AnsLkupByUniqueKey,4,FALSE),AnswerLkup,2,FALSE)," ")</f>
        <v xml:space="preserve"> </v>
      </c>
      <c r="E9" s="52" t="str">
        <f>IF(Card[[#This Row],[I AM]]&lt;&gt;3000,VLOOKUP(VLOOKUP(Card[[#This Row],[CurLookup]],AnsLkupByUniqueKey,5,FALSE),AnswerLkup,2,FALSE)," ")</f>
        <v xml:space="preserve"> </v>
      </c>
      <c r="F9" s="52" t="str">
        <f>IF(Card[[#This Row],[I AM]]&lt;&gt;3000,VLOOKUP(VLOOKUP(Card[[#This Row],[CurLookup]],AnsLkupByUniqueKey,6,FALSE),AnswerLkup,2,FALSE)," ")</f>
        <v xml:space="preserve"> </v>
      </c>
      <c r="G9" s="52" t="str">
        <f>IF(Card[[#This Row],[I AM]]&lt;&gt;3000,VLOOKUP(VLOOKUP(Card[[#This Row],[CurLookup]],AnsLkupByUniqueKey,7,FALSE),AnswerLkup,2,FALSE)," ")</f>
        <v xml:space="preserve"> </v>
      </c>
      <c r="H9" s="52" t="str">
        <f>IF(Card[[#This Row],[I AM]]&lt;&gt;3000,VLOOKUP(VLOOKUP(Card[[#This Row],[CurLookup]],AnsLkupByUniqueKey,8,FALSE),AnswerLkup,2,FALSE)," ")</f>
        <v xml:space="preserve"> </v>
      </c>
      <c r="I9" s="53" t="str">
        <f>IF(AND(Card[[#This Row],[CurLookup]]&lt;&gt;"",Card[[#This Row],[I AM]] &lt;&gt; 3000),VLOOKUP(Card[[#This Row],[CurLookup]],AnsLkupByUniqueKey,9,FALSE),"NA")</f>
        <v>NA</v>
      </c>
      <c r="J9" s="37">
        <v>3000</v>
      </c>
      <c r="K9" s="63" t="str">
        <f>HYPERLINK(VLOOKUP(Card[[#This Row],[I AM]],QuestionLkup,3,FALSE),VLOOKUP(Card[[#This Row],[I AM]],QuestionLkup,4,FALSE))</f>
        <v>Visit IA Master Data Site</v>
      </c>
    </row>
    <row r="10" spans="1:12" ht="34.5" customHeight="1" thickBot="1" x14ac:dyDescent="0.3">
      <c r="A10" s="54">
        <v>8</v>
      </c>
      <c r="B10" s="50" t="str">
        <f>VLOOKUP(Card[[#This Row],[I AM]],QuestionLkup,2,FALSE)</f>
        <v>No Question</v>
      </c>
      <c r="C10" s="51"/>
      <c r="D10" s="52" t="str">
        <f>IF(Card[[#This Row],[I AM]]&lt;&gt;3000,VLOOKUP(VLOOKUP(Card[[#This Row],[CurLookup]],AnsLkupByUniqueKey,4,FALSE),AnswerLkup,2,FALSE)," ")</f>
        <v xml:space="preserve"> </v>
      </c>
      <c r="E10" s="52" t="str">
        <f>IF(Card[[#This Row],[I AM]]&lt;&gt;3000,VLOOKUP(VLOOKUP(Card[[#This Row],[CurLookup]],AnsLkupByUniqueKey,5,FALSE),AnswerLkup,2,FALSE)," ")</f>
        <v xml:space="preserve"> </v>
      </c>
      <c r="F10" s="52" t="str">
        <f>IF(Card[[#This Row],[I AM]]&lt;&gt;3000,VLOOKUP(VLOOKUP(Card[[#This Row],[CurLookup]],AnsLkupByUniqueKey,6,FALSE),AnswerLkup,2,FALSE)," ")</f>
        <v xml:space="preserve"> </v>
      </c>
      <c r="G10" s="52" t="str">
        <f>IF(Card[[#This Row],[I AM]]&lt;&gt;3000,VLOOKUP(VLOOKUP(Card[[#This Row],[CurLookup]],AnsLkupByUniqueKey,7,FALSE),AnswerLkup,2,FALSE)," ")</f>
        <v xml:space="preserve"> </v>
      </c>
      <c r="H10" s="52" t="str">
        <f>IF(Card[[#This Row],[I AM]]&lt;&gt;3000,VLOOKUP(VLOOKUP(Card[[#This Row],[CurLookup]],AnsLkupByUniqueKey,8,FALSE),AnswerLkup,2,FALSE)," ")</f>
        <v xml:space="preserve"> </v>
      </c>
      <c r="I10" s="53" t="str">
        <f>IF(AND(Card[[#This Row],[CurLookup]]&lt;&gt;"",Card[[#This Row],[I AM]] &lt;&gt; 3000),VLOOKUP(Card[[#This Row],[CurLookup]],AnsLkupByUniqueKey,9,FALSE),"NA")</f>
        <v>NA</v>
      </c>
      <c r="J10" s="37">
        <v>3000</v>
      </c>
      <c r="K10" s="63" t="str">
        <f>HYPERLINK(VLOOKUP(Card[[#This Row],[I AM]],QuestionLkup,3,FALSE),VLOOKUP(Card[[#This Row],[I AM]],QuestionLkup,4,FALSE))</f>
        <v>Visit IA Master Data Site</v>
      </c>
    </row>
    <row r="11" spans="1:12" ht="34.5" customHeight="1" thickBot="1" x14ac:dyDescent="0.3">
      <c r="A11" s="54">
        <v>9</v>
      </c>
      <c r="B11" s="50" t="str">
        <f>VLOOKUP(Card[[#This Row],[I AM]],QuestionLkup,2,FALSE)</f>
        <v>No Question</v>
      </c>
      <c r="C11" s="51"/>
      <c r="D11" s="52" t="str">
        <f>IF(Card[[#This Row],[I AM]]&lt;&gt;3000,VLOOKUP(VLOOKUP(Card[[#This Row],[CurLookup]],AnsLkupByUniqueKey,4,FALSE),AnswerLkup,2,FALSE)," ")</f>
        <v xml:space="preserve"> </v>
      </c>
      <c r="E11" s="52" t="str">
        <f>IF(Card[[#This Row],[I AM]]&lt;&gt;3000,VLOOKUP(VLOOKUP(Card[[#This Row],[CurLookup]],AnsLkupByUniqueKey,5,FALSE),AnswerLkup,2,FALSE)," ")</f>
        <v xml:space="preserve"> </v>
      </c>
      <c r="F11" s="52" t="str">
        <f>IF(Card[[#This Row],[I AM]]&lt;&gt;3000,VLOOKUP(VLOOKUP(Card[[#This Row],[CurLookup]],AnsLkupByUniqueKey,6,FALSE),AnswerLkup,2,FALSE)," ")</f>
        <v xml:space="preserve"> </v>
      </c>
      <c r="G11" s="52" t="str">
        <f>IF(Card[[#This Row],[I AM]]&lt;&gt;3000,VLOOKUP(VLOOKUP(Card[[#This Row],[CurLookup]],AnsLkupByUniqueKey,7,FALSE),AnswerLkup,2,FALSE)," ")</f>
        <v xml:space="preserve"> </v>
      </c>
      <c r="H11" s="52" t="str">
        <f>IF(Card[[#This Row],[I AM]]&lt;&gt;3000,VLOOKUP(VLOOKUP(Card[[#This Row],[CurLookup]],AnsLkupByUniqueKey,8,FALSE),AnswerLkup,2,FALSE)," ")</f>
        <v xml:space="preserve"> </v>
      </c>
      <c r="I11" s="53" t="str">
        <f>IF(AND(Card[[#This Row],[CurLookup]]&lt;&gt;"",Card[[#This Row],[I AM]] &lt;&gt; 3000),VLOOKUP(Card[[#This Row],[CurLookup]],AnsLkupByUniqueKey,9,FALSE),"NA")</f>
        <v>NA</v>
      </c>
      <c r="J11" s="37">
        <v>3000</v>
      </c>
      <c r="K11" s="63" t="str">
        <f>HYPERLINK(VLOOKUP(Card[[#This Row],[I AM]],QuestionLkup,3,FALSE),VLOOKUP(Card[[#This Row],[I AM]],QuestionLkup,4,FALSE))</f>
        <v>Visit IA Master Data Site</v>
      </c>
    </row>
    <row r="12" spans="1:12" ht="34.5" customHeight="1" thickBot="1" x14ac:dyDescent="0.3">
      <c r="A12" s="54">
        <v>10</v>
      </c>
      <c r="B12" s="50" t="str">
        <f>VLOOKUP(Card[[#This Row],[I AM]],QuestionLkup,2,FALSE)</f>
        <v>No Question</v>
      </c>
      <c r="C12" s="51"/>
      <c r="D12" s="52" t="str">
        <f>IF(Card[[#This Row],[I AM]]&lt;&gt;3000,VLOOKUP(VLOOKUP(Card[[#This Row],[CurLookup]],AnsLkupByUniqueKey,4,FALSE),AnswerLkup,2,FALSE)," ")</f>
        <v xml:space="preserve"> </v>
      </c>
      <c r="E12" s="52" t="str">
        <f>IF(Card[[#This Row],[I AM]]&lt;&gt;3000,VLOOKUP(VLOOKUP(Card[[#This Row],[CurLookup]],AnsLkupByUniqueKey,5,FALSE),AnswerLkup,2,FALSE)," ")</f>
        <v xml:space="preserve"> </v>
      </c>
      <c r="F12" s="52" t="str">
        <f>IF(Card[[#This Row],[I AM]]&lt;&gt;3000,VLOOKUP(VLOOKUP(Card[[#This Row],[CurLookup]],AnsLkupByUniqueKey,6,FALSE),AnswerLkup,2,FALSE)," ")</f>
        <v xml:space="preserve"> </v>
      </c>
      <c r="G12" s="52" t="str">
        <f>IF(Card[[#This Row],[I AM]]&lt;&gt;3000,VLOOKUP(VLOOKUP(Card[[#This Row],[CurLookup]],AnsLkupByUniqueKey,7,FALSE),AnswerLkup,2,FALSE)," ")</f>
        <v xml:space="preserve"> </v>
      </c>
      <c r="H12" s="52" t="str">
        <f>IF(Card[[#This Row],[I AM]]&lt;&gt;3000,VLOOKUP(VLOOKUP(Card[[#This Row],[CurLookup]],AnsLkupByUniqueKey,8,FALSE),AnswerLkup,2,FALSE)," ")</f>
        <v xml:space="preserve"> </v>
      </c>
      <c r="I12" s="53" t="str">
        <f>IF(AND(Card[[#This Row],[CurLookup]]&lt;&gt;"",Card[[#This Row],[I AM]] &lt;&gt; 3000),VLOOKUP(Card[[#This Row],[CurLookup]],AnsLkupByUniqueKey,9,FALSE),"NA")</f>
        <v>NA</v>
      </c>
      <c r="J12" s="37">
        <v>3000</v>
      </c>
      <c r="K12" s="63" t="str">
        <f>HYPERLINK(VLOOKUP(Card[[#This Row],[I AM]],QuestionLkup,3,FALSE),VLOOKUP(Card[[#This Row],[I AM]],QuestionLkup,4,FALSE))</f>
        <v>Visit IA Master Data Site</v>
      </c>
    </row>
    <row r="13" spans="1:12" ht="34.5" customHeight="1" thickBot="1" x14ac:dyDescent="0.3">
      <c r="A13" s="54">
        <v>11</v>
      </c>
      <c r="B13" s="50" t="str">
        <f>VLOOKUP(Card[[#This Row],[I AM]],QuestionLkup,2,FALSE)</f>
        <v>No Question</v>
      </c>
      <c r="C13" s="51"/>
      <c r="D13" s="52" t="str">
        <f>IF(Card[[#This Row],[I AM]]&lt;&gt;3000,VLOOKUP(VLOOKUP(Card[[#This Row],[CurLookup]],AnsLkupByUniqueKey,4,FALSE),AnswerLkup,2,FALSE)," ")</f>
        <v xml:space="preserve"> </v>
      </c>
      <c r="E13" s="52" t="str">
        <f>IF(Card[[#This Row],[I AM]]&lt;&gt;3000,VLOOKUP(VLOOKUP(Card[[#This Row],[CurLookup]],AnsLkupByUniqueKey,5,FALSE),AnswerLkup,2,FALSE)," ")</f>
        <v xml:space="preserve"> </v>
      </c>
      <c r="F13" s="52" t="str">
        <f>IF(Card[[#This Row],[I AM]]&lt;&gt;3000,VLOOKUP(VLOOKUP(Card[[#This Row],[CurLookup]],AnsLkupByUniqueKey,6,FALSE),AnswerLkup,2,FALSE)," ")</f>
        <v xml:space="preserve"> </v>
      </c>
      <c r="G13" s="52" t="str">
        <f>IF(Card[[#This Row],[I AM]]&lt;&gt;3000,VLOOKUP(VLOOKUP(Card[[#This Row],[CurLookup]],AnsLkupByUniqueKey,7,FALSE),AnswerLkup,2,FALSE)," ")</f>
        <v xml:space="preserve"> </v>
      </c>
      <c r="H13" s="52" t="str">
        <f>IF(Card[[#This Row],[I AM]]&lt;&gt;3000,VLOOKUP(VLOOKUP(Card[[#This Row],[CurLookup]],AnsLkupByUniqueKey,8,FALSE),AnswerLkup,2,FALSE)," ")</f>
        <v xml:space="preserve"> </v>
      </c>
      <c r="I13" s="53" t="str">
        <f>IF(AND(Card[[#This Row],[CurLookup]]&lt;&gt;"",Card[[#This Row],[I AM]] &lt;&gt; 3000),VLOOKUP(Card[[#This Row],[CurLookup]],AnsLkupByUniqueKey,9,FALSE),"NA")</f>
        <v>NA</v>
      </c>
      <c r="J13" s="37">
        <v>3000</v>
      </c>
      <c r="K13" s="63" t="str">
        <f>HYPERLINK(VLOOKUP(Card[[#This Row],[I AM]],QuestionLkup,3,FALSE),VLOOKUP(Card[[#This Row],[I AM]],QuestionLkup,4,FALSE))</f>
        <v>Visit IA Master Data Site</v>
      </c>
    </row>
    <row r="14" spans="1:12" ht="34.5" customHeight="1" thickBot="1" x14ac:dyDescent="0.3">
      <c r="A14" s="55">
        <v>12</v>
      </c>
      <c r="B14" s="50" t="str">
        <f>VLOOKUP(Card[[#This Row],[I AM]],QuestionLkup,2,FALSE)</f>
        <v>No Question</v>
      </c>
      <c r="C14" s="51"/>
      <c r="D14" s="52" t="str">
        <f>IF(Card[[#This Row],[I AM]]&lt;&gt;3000,VLOOKUP(VLOOKUP(Card[[#This Row],[CurLookup]],AnsLkupByUniqueKey,4,FALSE),AnswerLkup,2,FALSE)," ")</f>
        <v xml:space="preserve"> </v>
      </c>
      <c r="E14" s="52" t="str">
        <f>IF(Card[[#This Row],[I AM]]&lt;&gt;3000,VLOOKUP(VLOOKUP(Card[[#This Row],[CurLookup]],AnsLkupByUniqueKey,5,FALSE),AnswerLkup,2,FALSE)," ")</f>
        <v xml:space="preserve"> </v>
      </c>
      <c r="F14" s="52" t="str">
        <f>IF(Card[[#This Row],[I AM]]&lt;&gt;3000,VLOOKUP(VLOOKUP(Card[[#This Row],[CurLookup]],AnsLkupByUniqueKey,6,FALSE),AnswerLkup,2,FALSE)," ")</f>
        <v xml:space="preserve"> </v>
      </c>
      <c r="G14" s="52" t="str">
        <f>IF(Card[[#This Row],[I AM]]&lt;&gt;3000,VLOOKUP(VLOOKUP(Card[[#This Row],[CurLookup]],AnsLkupByUniqueKey,7,FALSE),AnswerLkup,2,FALSE)," ")</f>
        <v xml:space="preserve"> </v>
      </c>
      <c r="H14" s="52" t="str">
        <f>IF(Card[[#This Row],[I AM]]&lt;&gt;3000,VLOOKUP(VLOOKUP(Card[[#This Row],[CurLookup]],AnsLkupByUniqueKey,8,FALSE),AnswerLkup,2,FALSE)," ")</f>
        <v xml:space="preserve"> </v>
      </c>
      <c r="I14" s="53" t="str">
        <f>IF(AND(Card[[#This Row],[CurLookup]]&lt;&gt;"",Card[[#This Row],[I AM]] &lt;&gt; 3000),VLOOKUP(Card[[#This Row],[CurLookup]],AnsLkupByUniqueKey,9,FALSE),"NA")</f>
        <v>NA</v>
      </c>
      <c r="J14" s="37">
        <v>3000</v>
      </c>
      <c r="K14" s="63" t="str">
        <f>HYPERLINK(VLOOKUP(Card[[#This Row],[I AM]],QuestionLkup,3,FALSE),VLOOKUP(Card[[#This Row],[I AM]],QuestionLkup,4,FALSE))</f>
        <v>Visit IA Master Data Site</v>
      </c>
    </row>
    <row r="15" spans="1:12" ht="34.5" customHeight="1" x14ac:dyDescent="0.25">
      <c r="A15" s="54">
        <v>13</v>
      </c>
      <c r="B15" s="56" t="str">
        <f>VLOOKUP(Card[[#This Row],[I AM]],QuestionLkup,2,FALSE)</f>
        <v>No Question</v>
      </c>
      <c r="C15" s="57"/>
      <c r="D15" s="61"/>
      <c r="E15" s="61"/>
      <c r="F15" s="61"/>
      <c r="G15" s="61"/>
      <c r="H15" s="61"/>
      <c r="I15" s="53" t="str">
        <f>IF(AND(Card[[#This Row],[CurLookup]]&lt;&gt;"",Card[[#This Row],[I AM]] &lt;&gt; 3000),VLOOKUP(Card[[#This Row],[CurLookup]],AnsLkupByUniqueKey,9,FALSE),"NA")</f>
        <v>NA</v>
      </c>
      <c r="J15" s="37">
        <v>3000</v>
      </c>
      <c r="K15" s="63" t="str">
        <f>HYPERLINK(VLOOKUP(Card[[#This Row],[I AM]],QuestionLkup,3,FALSE),VLOOKUP(Card[[#This Row],[I AM]],QuestionLkup,4,FALSE))</f>
        <v>Visit IA Master Data Site</v>
      </c>
    </row>
    <row r="16" spans="1:12" x14ac:dyDescent="0.25">
      <c r="A16" s="58"/>
      <c r="B16" s="78" t="s">
        <v>52</v>
      </c>
      <c r="C16" s="79"/>
      <c r="D16" s="59">
        <f>SumUp!A14</f>
        <v>0</v>
      </c>
      <c r="E16" s="59">
        <f>SumUp!B14</f>
        <v>0</v>
      </c>
      <c r="F16" s="59">
        <f>SumUp!C14</f>
        <v>2</v>
      </c>
      <c r="G16" s="59">
        <f>SumUp!D14</f>
        <v>2</v>
      </c>
      <c r="H16" s="67">
        <f>SumUp!E14</f>
        <v>0</v>
      </c>
      <c r="I16" s="60"/>
      <c r="J16" s="65"/>
      <c r="K16" s="64"/>
    </row>
    <row r="39" spans="10:12" x14ac:dyDescent="0.25">
      <c r="J39">
        <v>14</v>
      </c>
      <c r="L39" t="s">
        <v>93</v>
      </c>
    </row>
  </sheetData>
  <sheetProtection formatCells="0" formatColumns="0" formatRows="0"/>
  <mergeCells count="2">
    <mergeCell ref="D1:H1"/>
    <mergeCell ref="B16:C16"/>
  </mergeCells>
  <conditionalFormatting sqref="C3:C15">
    <cfRule type="cellIs" dxfId="65" priority="27" operator="equal">
      <formula>"U"</formula>
    </cfRule>
    <cfRule type="cellIs" dxfId="64" priority="28" operator="equal">
      <formula>"E"</formula>
    </cfRule>
    <cfRule type="cellIs" dxfId="63" priority="54" operator="equal">
      <formula>"N"</formula>
    </cfRule>
    <cfRule type="cellIs" dxfId="62" priority="56" operator="equal">
      <formula>"Y"</formula>
    </cfRule>
  </conditionalFormatting>
  <conditionalFormatting sqref="I3:I15">
    <cfRule type="containsText" dxfId="61" priority="1" operator="containsText" text="You have completed the worksheet">
      <formula>NOT(ISERROR(SEARCH("You have completed the worksheet",I3)))</formula>
    </cfRule>
    <cfRule type="cellIs" dxfId="60" priority="3" operator="equal">
      <formula>"NA"</formula>
    </cfRule>
    <cfRule type="containsText" dxfId="59" priority="4" operator="containsText" text="Your done!!">
      <formula>NOT(ISERROR(SEARCH("Your done!!",I3)))</formula>
    </cfRule>
    <cfRule type="expression" dxfId="58" priority="42">
      <formula>$C3="Y"</formula>
    </cfRule>
    <cfRule type="expression" dxfId="57" priority="43">
      <formula>$C3="N"</formula>
    </cfRule>
    <cfRule type="cellIs" dxfId="56" priority="46" operator="equal">
      <formula>"Don't Use"</formula>
    </cfRule>
    <cfRule type="cellIs" dxfId="55" priority="48" operator="equal">
      <formula>"Consider"</formula>
    </cfRule>
  </conditionalFormatting>
  <conditionalFormatting sqref="B3:B15 D3:H15">
    <cfRule type="cellIs" dxfId="54" priority="37" operator="equal">
      <formula>"Don't Use"</formula>
    </cfRule>
    <cfRule type="cellIs" dxfId="53" priority="38" operator="equal">
      <formula>"Keep Using"</formula>
    </cfRule>
    <cfRule type="cellIs" dxfId="52" priority="39" operator="equal">
      <formula>"Consider"</formula>
    </cfRule>
  </conditionalFormatting>
  <conditionalFormatting sqref="B3:B15">
    <cfRule type="containsText" dxfId="51" priority="11" operator="containsText" text="Error">
      <formula>NOT(ISERROR(SEARCH("Error",B3)))</formula>
    </cfRule>
    <cfRule type="cellIs" dxfId="50" priority="32" operator="equal">
      <formula>"No Question"</formula>
    </cfRule>
  </conditionalFormatting>
  <conditionalFormatting sqref="B4:B15">
    <cfRule type="cellIs" dxfId="49" priority="31" operator="equal">
      <formula>"Done"</formula>
    </cfRule>
  </conditionalFormatting>
  <conditionalFormatting sqref="D3:H15">
    <cfRule type="cellIs" dxfId="48" priority="2" operator="equal">
      <formula>"="</formula>
    </cfRule>
    <cfRule type="cellIs" dxfId="47" priority="12" operator="equal">
      <formula>"Use With Caution"</formula>
    </cfRule>
    <cfRule type="cellIs" dxfId="46" priority="21" operator="equal">
      <formula>"Use"</formula>
    </cfRule>
    <cfRule type="cellIs" dxfId="45" priority="29" operator="equal">
      <formula>" "</formula>
    </cfRule>
    <cfRule type="cellIs" dxfId="44" priority="40" operator="equal">
      <formula>"NA"</formula>
    </cfRule>
    <cfRule type="cellIs" dxfId="43" priority="47" operator="equal">
      <formula>"Prefer"</formula>
    </cfRule>
  </conditionalFormatting>
  <conditionalFormatting sqref="K3:K15">
    <cfRule type="cellIs" dxfId="42" priority="22" operator="equal">
      <formula>"No Link"</formula>
    </cfRule>
  </conditionalFormatting>
  <hyperlinks>
    <hyperlink ref="F2" r:id="rId1"/>
    <hyperlink ref="D2" r:id="rId2"/>
    <hyperlink ref="E2" r:id="rId3"/>
    <hyperlink ref="H2" r:id="rId4" display="COTS"/>
    <hyperlink ref="G2" r:id="rId5"/>
  </hyperlinks>
  <pageMargins left="0.7" right="0.7" top="0.75" bottom="0.75" header="0.3" footer="0.3"/>
  <pageSetup orientation="portrait" r:id="rId6"/>
  <ignoredErrors>
    <ignoredError sqref="D3:H14 K3" calculatedColumn="1"/>
  </ignoredErrors>
  <drawing r:id="rId7"/>
  <legacyDrawing r:id="rId8"/>
  <controls>
    <mc:AlternateContent xmlns:mc="http://schemas.openxmlformats.org/markup-compatibility/2006">
      <mc:Choice Requires="x14">
        <control shapeId="3155" r:id="rId9" name="AnswerBox12">
          <controlPr defaultSize="0" autoLine="0" r:id="rId10">
            <anchor moveWithCells="1">
              <from>
                <xdr:col>2</xdr:col>
                <xdr:colOff>28575</xdr:colOff>
                <xdr:row>13</xdr:row>
                <xdr:rowOff>104775</xdr:rowOff>
              </from>
              <to>
                <xdr:col>3</xdr:col>
                <xdr:colOff>0</xdr:colOff>
                <xdr:row>13</xdr:row>
                <xdr:rowOff>371475</xdr:rowOff>
              </to>
            </anchor>
          </controlPr>
        </control>
      </mc:Choice>
      <mc:Fallback>
        <control shapeId="3155" r:id="rId9" name="AnswerBox12"/>
      </mc:Fallback>
    </mc:AlternateContent>
    <mc:AlternateContent xmlns:mc="http://schemas.openxmlformats.org/markup-compatibility/2006">
      <mc:Choice Requires="x14">
        <control shapeId="3154" r:id="rId11" name="AnswerBox11">
          <controlPr defaultSize="0" autoLine="0" r:id="rId12">
            <anchor moveWithCells="1">
              <from>
                <xdr:col>2</xdr:col>
                <xdr:colOff>28575</xdr:colOff>
                <xdr:row>12</xdr:row>
                <xdr:rowOff>104775</xdr:rowOff>
              </from>
              <to>
                <xdr:col>3</xdr:col>
                <xdr:colOff>0</xdr:colOff>
                <xdr:row>12</xdr:row>
                <xdr:rowOff>371475</xdr:rowOff>
              </to>
            </anchor>
          </controlPr>
        </control>
      </mc:Choice>
      <mc:Fallback>
        <control shapeId="3154" r:id="rId11" name="AnswerBox11"/>
      </mc:Fallback>
    </mc:AlternateContent>
    <mc:AlternateContent xmlns:mc="http://schemas.openxmlformats.org/markup-compatibility/2006">
      <mc:Choice Requires="x14">
        <control shapeId="3153" r:id="rId13" name="AnswerBox10">
          <controlPr defaultSize="0" autoLine="0" r:id="rId14">
            <anchor moveWithCells="1">
              <from>
                <xdr:col>2</xdr:col>
                <xdr:colOff>28575</xdr:colOff>
                <xdr:row>11</xdr:row>
                <xdr:rowOff>95250</xdr:rowOff>
              </from>
              <to>
                <xdr:col>3</xdr:col>
                <xdr:colOff>0</xdr:colOff>
                <xdr:row>11</xdr:row>
                <xdr:rowOff>361950</xdr:rowOff>
              </to>
            </anchor>
          </controlPr>
        </control>
      </mc:Choice>
      <mc:Fallback>
        <control shapeId="3153" r:id="rId13" name="AnswerBox10"/>
      </mc:Fallback>
    </mc:AlternateContent>
    <mc:AlternateContent xmlns:mc="http://schemas.openxmlformats.org/markup-compatibility/2006">
      <mc:Choice Requires="x14">
        <control shapeId="3152" r:id="rId15" name="AnswerBox9">
          <controlPr defaultSize="0" autoLine="0" r:id="rId16">
            <anchor moveWithCells="1">
              <from>
                <xdr:col>2</xdr:col>
                <xdr:colOff>28575</xdr:colOff>
                <xdr:row>10</xdr:row>
                <xdr:rowOff>104775</xdr:rowOff>
              </from>
              <to>
                <xdr:col>3</xdr:col>
                <xdr:colOff>0</xdr:colOff>
                <xdr:row>10</xdr:row>
                <xdr:rowOff>371475</xdr:rowOff>
              </to>
            </anchor>
          </controlPr>
        </control>
      </mc:Choice>
      <mc:Fallback>
        <control shapeId="3152" r:id="rId15" name="AnswerBox9"/>
      </mc:Fallback>
    </mc:AlternateContent>
    <mc:AlternateContent xmlns:mc="http://schemas.openxmlformats.org/markup-compatibility/2006">
      <mc:Choice Requires="x14">
        <control shapeId="3151" r:id="rId17" name="AnswerBox8">
          <controlPr defaultSize="0" autoLine="0" r:id="rId18">
            <anchor moveWithCells="1">
              <from>
                <xdr:col>2</xdr:col>
                <xdr:colOff>28575</xdr:colOff>
                <xdr:row>9</xdr:row>
                <xdr:rowOff>114300</xdr:rowOff>
              </from>
              <to>
                <xdr:col>3</xdr:col>
                <xdr:colOff>0</xdr:colOff>
                <xdr:row>9</xdr:row>
                <xdr:rowOff>381000</xdr:rowOff>
              </to>
            </anchor>
          </controlPr>
        </control>
      </mc:Choice>
      <mc:Fallback>
        <control shapeId="3151" r:id="rId17" name="AnswerBox8"/>
      </mc:Fallback>
    </mc:AlternateContent>
    <mc:AlternateContent xmlns:mc="http://schemas.openxmlformats.org/markup-compatibility/2006">
      <mc:Choice Requires="x14">
        <control shapeId="3150" r:id="rId19" name="AnswerBox7">
          <controlPr defaultSize="0" autoLine="0" r:id="rId20">
            <anchor moveWithCells="1">
              <from>
                <xdr:col>2</xdr:col>
                <xdr:colOff>28575</xdr:colOff>
                <xdr:row>8</xdr:row>
                <xdr:rowOff>95250</xdr:rowOff>
              </from>
              <to>
                <xdr:col>3</xdr:col>
                <xdr:colOff>0</xdr:colOff>
                <xdr:row>8</xdr:row>
                <xdr:rowOff>361950</xdr:rowOff>
              </to>
            </anchor>
          </controlPr>
        </control>
      </mc:Choice>
      <mc:Fallback>
        <control shapeId="3150" r:id="rId19" name="AnswerBox7"/>
      </mc:Fallback>
    </mc:AlternateContent>
    <mc:AlternateContent xmlns:mc="http://schemas.openxmlformats.org/markup-compatibility/2006">
      <mc:Choice Requires="x14">
        <control shapeId="3149" r:id="rId21" name="AnswerBox6">
          <controlPr defaultSize="0" autoLine="0" r:id="rId22">
            <anchor moveWithCells="1">
              <from>
                <xdr:col>2</xdr:col>
                <xdr:colOff>28575</xdr:colOff>
                <xdr:row>7</xdr:row>
                <xdr:rowOff>66675</xdr:rowOff>
              </from>
              <to>
                <xdr:col>3</xdr:col>
                <xdr:colOff>0</xdr:colOff>
                <xdr:row>7</xdr:row>
                <xdr:rowOff>333375</xdr:rowOff>
              </to>
            </anchor>
          </controlPr>
        </control>
      </mc:Choice>
      <mc:Fallback>
        <control shapeId="3149" r:id="rId21" name="AnswerBox6"/>
      </mc:Fallback>
    </mc:AlternateContent>
    <mc:AlternateContent xmlns:mc="http://schemas.openxmlformats.org/markup-compatibility/2006">
      <mc:Choice Requires="x14">
        <control shapeId="3148" r:id="rId23" name="AnswerBox5">
          <controlPr defaultSize="0" autoLine="0" r:id="rId24">
            <anchor moveWithCells="1">
              <from>
                <xdr:col>2</xdr:col>
                <xdr:colOff>28575</xdr:colOff>
                <xdr:row>6</xdr:row>
                <xdr:rowOff>104775</xdr:rowOff>
              </from>
              <to>
                <xdr:col>3</xdr:col>
                <xdr:colOff>0</xdr:colOff>
                <xdr:row>6</xdr:row>
                <xdr:rowOff>371475</xdr:rowOff>
              </to>
            </anchor>
          </controlPr>
        </control>
      </mc:Choice>
      <mc:Fallback>
        <control shapeId="3148" r:id="rId23" name="AnswerBox5"/>
      </mc:Fallback>
    </mc:AlternateContent>
    <mc:AlternateContent xmlns:mc="http://schemas.openxmlformats.org/markup-compatibility/2006">
      <mc:Choice Requires="x14">
        <control shapeId="3147" r:id="rId25" name="AnswerBox4">
          <controlPr defaultSize="0" autoLine="0" r:id="rId26">
            <anchor moveWithCells="1">
              <from>
                <xdr:col>2</xdr:col>
                <xdr:colOff>28575</xdr:colOff>
                <xdr:row>5</xdr:row>
                <xdr:rowOff>104775</xdr:rowOff>
              </from>
              <to>
                <xdr:col>3</xdr:col>
                <xdr:colOff>0</xdr:colOff>
                <xdr:row>5</xdr:row>
                <xdr:rowOff>371475</xdr:rowOff>
              </to>
            </anchor>
          </controlPr>
        </control>
      </mc:Choice>
      <mc:Fallback>
        <control shapeId="3147" r:id="rId25" name="AnswerBox4"/>
      </mc:Fallback>
    </mc:AlternateContent>
    <mc:AlternateContent xmlns:mc="http://schemas.openxmlformats.org/markup-compatibility/2006">
      <mc:Choice Requires="x14">
        <control shapeId="3146" r:id="rId27" name="AnswerBox3">
          <controlPr defaultSize="0" autoLine="0" r:id="rId28">
            <anchor moveWithCells="1">
              <from>
                <xdr:col>2</xdr:col>
                <xdr:colOff>28575</xdr:colOff>
                <xdr:row>4</xdr:row>
                <xdr:rowOff>104775</xdr:rowOff>
              </from>
              <to>
                <xdr:col>3</xdr:col>
                <xdr:colOff>0</xdr:colOff>
                <xdr:row>4</xdr:row>
                <xdr:rowOff>371475</xdr:rowOff>
              </to>
            </anchor>
          </controlPr>
        </control>
      </mc:Choice>
      <mc:Fallback>
        <control shapeId="3146" r:id="rId27" name="AnswerBox3"/>
      </mc:Fallback>
    </mc:AlternateContent>
    <mc:AlternateContent xmlns:mc="http://schemas.openxmlformats.org/markup-compatibility/2006">
      <mc:Choice Requires="x14">
        <control shapeId="3145" r:id="rId29" name="AnswerBox2">
          <controlPr defaultSize="0" autoLine="0" r:id="rId30">
            <anchor moveWithCells="1">
              <from>
                <xdr:col>2</xdr:col>
                <xdr:colOff>28575</xdr:colOff>
                <xdr:row>3</xdr:row>
                <xdr:rowOff>76200</xdr:rowOff>
              </from>
              <to>
                <xdr:col>3</xdr:col>
                <xdr:colOff>0</xdr:colOff>
                <xdr:row>3</xdr:row>
                <xdr:rowOff>342900</xdr:rowOff>
              </to>
            </anchor>
          </controlPr>
        </control>
      </mc:Choice>
      <mc:Fallback>
        <control shapeId="3145" r:id="rId29" name="AnswerBox2"/>
      </mc:Fallback>
    </mc:AlternateContent>
    <mc:AlternateContent xmlns:mc="http://schemas.openxmlformats.org/markup-compatibility/2006">
      <mc:Choice Requires="x14">
        <control shapeId="3086" r:id="rId31" name="ResetWorkSheet">
          <controlPr defaultSize="0" autoLine="0" r:id="rId32">
            <anchor moveWithCells="1">
              <from>
                <xdr:col>8</xdr:col>
                <xdr:colOff>5114925</xdr:colOff>
                <xdr:row>0</xdr:row>
                <xdr:rowOff>238125</xdr:rowOff>
              </from>
              <to>
                <xdr:col>10</xdr:col>
                <xdr:colOff>38100</xdr:colOff>
                <xdr:row>0</xdr:row>
                <xdr:rowOff>590550</xdr:rowOff>
              </to>
            </anchor>
          </controlPr>
        </control>
      </mc:Choice>
      <mc:Fallback>
        <control shapeId="3086" r:id="rId31" name="ResetWorkSheet"/>
      </mc:Fallback>
    </mc:AlternateContent>
    <mc:AlternateContent xmlns:mc="http://schemas.openxmlformats.org/markup-compatibility/2006">
      <mc:Choice Requires="x14">
        <control shapeId="3144" r:id="rId33" name="AnswerBox1">
          <controlPr defaultSize="0" autoLine="0" r:id="rId34">
            <anchor moveWithCells="1">
              <from>
                <xdr:col>2</xdr:col>
                <xdr:colOff>28575</xdr:colOff>
                <xdr:row>2</xdr:row>
                <xdr:rowOff>76200</xdr:rowOff>
              </from>
              <to>
                <xdr:col>3</xdr:col>
                <xdr:colOff>0</xdr:colOff>
                <xdr:row>2</xdr:row>
                <xdr:rowOff>342900</xdr:rowOff>
              </to>
            </anchor>
          </controlPr>
        </control>
      </mc:Choice>
      <mc:Fallback>
        <control shapeId="3144" r:id="rId33" name="AnswerBox1"/>
      </mc:Fallback>
    </mc:AlternateContent>
  </controls>
  <tableParts count="1">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D20"/>
  <sheetViews>
    <sheetView showGridLines="0" workbookViewId="0">
      <pane xSplit="2" ySplit="1" topLeftCell="C2" activePane="bottomRight" state="frozen"/>
      <selection activeCell="A7" sqref="A7:XFD7"/>
      <selection pane="topRight" activeCell="A7" sqref="A7:XFD7"/>
      <selection pane="bottomLeft" activeCell="A7" sqref="A7:XFD7"/>
      <selection pane="bottomRight" activeCell="B7" sqref="B7"/>
    </sheetView>
  </sheetViews>
  <sheetFormatPr defaultRowHeight="15" x14ac:dyDescent="0.25"/>
  <cols>
    <col min="1" max="1" width="4.7109375" customWidth="1"/>
    <col min="2" max="2" width="29.42578125" customWidth="1"/>
    <col min="3" max="3" width="44.42578125" customWidth="1"/>
    <col min="4" max="4" width="44.7109375" customWidth="1"/>
    <col min="5" max="5" width="52.7109375" customWidth="1"/>
    <col min="6" max="6" width="25" customWidth="1"/>
    <col min="7" max="7" width="8.7109375" customWidth="1"/>
    <col min="8" max="8" width="19.7109375" customWidth="1"/>
    <col min="9" max="10" width="76.28515625" customWidth="1"/>
    <col min="11" max="11" width="86.140625" customWidth="1"/>
    <col min="12" max="12" width="32" customWidth="1"/>
    <col min="13" max="13" width="58" customWidth="1"/>
    <col min="14" max="14" width="64.42578125" customWidth="1"/>
    <col min="15" max="15" width="99.5703125" customWidth="1"/>
  </cols>
  <sheetData>
    <row r="1" spans="1:4" ht="30" x14ac:dyDescent="0.25">
      <c r="A1" s="2" t="s">
        <v>3</v>
      </c>
      <c r="B1" s="2" t="s">
        <v>4</v>
      </c>
      <c r="C1" t="s">
        <v>33</v>
      </c>
      <c r="D1" t="s">
        <v>32</v>
      </c>
    </row>
    <row r="2" spans="1:4" ht="70.5" customHeight="1" x14ac:dyDescent="0.25">
      <c r="A2" s="2">
        <v>1</v>
      </c>
      <c r="B2" s="2" t="s">
        <v>89</v>
      </c>
      <c r="C2" s="40" t="s">
        <v>107</v>
      </c>
      <c r="D2" s="3" t="s">
        <v>108</v>
      </c>
    </row>
    <row r="3" spans="1:4" ht="84.75" customHeight="1" x14ac:dyDescent="0.25">
      <c r="A3" s="2">
        <v>2</v>
      </c>
      <c r="B3" s="2" t="s">
        <v>117</v>
      </c>
      <c r="C3" s="4" t="s">
        <v>56</v>
      </c>
      <c r="D3" s="3" t="s">
        <v>57</v>
      </c>
    </row>
    <row r="4" spans="1:4" ht="70.5" customHeight="1" x14ac:dyDescent="0.25">
      <c r="A4" s="2">
        <v>3</v>
      </c>
      <c r="B4" s="2" t="s">
        <v>80</v>
      </c>
      <c r="C4" s="4" t="s">
        <v>22</v>
      </c>
      <c r="D4" s="3" t="s">
        <v>114</v>
      </c>
    </row>
    <row r="5" spans="1:4" s="37" customFormat="1" ht="70.5" customHeight="1" x14ac:dyDescent="0.25">
      <c r="A5" s="38">
        <v>4</v>
      </c>
      <c r="B5" s="38" t="s">
        <v>104</v>
      </c>
      <c r="C5" s="40" t="s">
        <v>20</v>
      </c>
      <c r="D5" s="39" t="s">
        <v>116</v>
      </c>
    </row>
    <row r="6" spans="1:4" ht="70.5" customHeight="1" x14ac:dyDescent="0.25">
      <c r="A6" s="2">
        <v>8</v>
      </c>
      <c r="B6" s="2" t="s">
        <v>84</v>
      </c>
      <c r="C6" s="40" t="s">
        <v>36</v>
      </c>
      <c r="D6" s="3" t="s">
        <v>37</v>
      </c>
    </row>
    <row r="7" spans="1:4" s="24" customFormat="1" ht="70.5" customHeight="1" x14ac:dyDescent="0.25">
      <c r="A7" s="22">
        <v>10</v>
      </c>
      <c r="B7" s="22" t="s">
        <v>160</v>
      </c>
      <c r="C7" s="40" t="s">
        <v>126</v>
      </c>
      <c r="D7" s="25" t="s">
        <v>127</v>
      </c>
    </row>
    <row r="8" spans="1:4" s="24" customFormat="1" ht="70.5" customHeight="1" x14ac:dyDescent="0.25">
      <c r="A8" s="22">
        <v>11</v>
      </c>
      <c r="B8" s="22" t="s">
        <v>100</v>
      </c>
      <c r="C8" s="40" t="s">
        <v>133</v>
      </c>
      <c r="D8" s="25" t="s">
        <v>134</v>
      </c>
    </row>
    <row r="9" spans="1:4" s="24" customFormat="1" ht="70.5" customHeight="1" x14ac:dyDescent="0.25">
      <c r="A9" s="22">
        <v>12</v>
      </c>
      <c r="B9" s="22" t="s">
        <v>100</v>
      </c>
      <c r="C9" s="40" t="s">
        <v>133</v>
      </c>
      <c r="D9" s="39" t="s">
        <v>134</v>
      </c>
    </row>
    <row r="10" spans="1:4" s="24" customFormat="1" ht="70.5" customHeight="1" x14ac:dyDescent="0.25">
      <c r="A10" s="22">
        <v>14</v>
      </c>
      <c r="B10" s="22" t="s">
        <v>101</v>
      </c>
      <c r="C10" s="40" t="s">
        <v>126</v>
      </c>
      <c r="D10" s="25" t="s">
        <v>146</v>
      </c>
    </row>
    <row r="11" spans="1:4" ht="60" x14ac:dyDescent="0.25">
      <c r="A11" s="22">
        <v>30</v>
      </c>
      <c r="B11" s="22" t="s">
        <v>158</v>
      </c>
      <c r="C11" s="4" t="s">
        <v>126</v>
      </c>
      <c r="D11" s="39" t="s">
        <v>146</v>
      </c>
    </row>
    <row r="12" spans="1:4" s="24" customFormat="1" ht="45" x14ac:dyDescent="0.25">
      <c r="A12" s="22">
        <v>31</v>
      </c>
      <c r="B12" s="22" t="s">
        <v>100</v>
      </c>
      <c r="C12" s="40" t="s">
        <v>133</v>
      </c>
      <c r="D12" s="39" t="s">
        <v>134</v>
      </c>
    </row>
    <row r="13" spans="1:4" s="24" customFormat="1" ht="60" x14ac:dyDescent="0.25">
      <c r="A13" s="22">
        <v>32</v>
      </c>
      <c r="B13" s="38" t="s">
        <v>103</v>
      </c>
      <c r="C13" s="40" t="s">
        <v>22</v>
      </c>
      <c r="D13" s="25" t="s">
        <v>151</v>
      </c>
    </row>
    <row r="14" spans="1:4" ht="60" x14ac:dyDescent="0.25">
      <c r="A14" s="22">
        <v>60</v>
      </c>
      <c r="B14" s="22" t="s">
        <v>159</v>
      </c>
      <c r="C14" s="4" t="s">
        <v>34</v>
      </c>
      <c r="D14" s="25" t="s">
        <v>35</v>
      </c>
    </row>
    <row r="15" spans="1:4" ht="75" x14ac:dyDescent="0.25">
      <c r="A15" s="22">
        <v>65</v>
      </c>
      <c r="B15" s="22" t="s">
        <v>29</v>
      </c>
      <c r="C15" s="4" t="s">
        <v>23</v>
      </c>
      <c r="D15" s="25" t="s">
        <v>24</v>
      </c>
    </row>
    <row r="16" spans="1:4" s="24" customFormat="1" ht="45" x14ac:dyDescent="0.25">
      <c r="A16" s="22">
        <v>66</v>
      </c>
      <c r="B16" s="22" t="s">
        <v>38</v>
      </c>
      <c r="C16" s="4" t="s">
        <v>25</v>
      </c>
      <c r="D16" s="25" t="s">
        <v>26</v>
      </c>
    </row>
    <row r="17" spans="1:4" ht="30" x14ac:dyDescent="0.25">
      <c r="A17" s="32">
        <v>4000</v>
      </c>
      <c r="B17" s="32" t="s">
        <v>14</v>
      </c>
      <c r="C17" s="4" t="s">
        <v>27</v>
      </c>
      <c r="D17" s="32" t="s">
        <v>28</v>
      </c>
    </row>
    <row r="18" spans="1:4" x14ac:dyDescent="0.25">
      <c r="A18" s="32">
        <v>1001</v>
      </c>
      <c r="B18" s="32" t="s">
        <v>99</v>
      </c>
      <c r="C18" s="40"/>
      <c r="D18" s="29"/>
    </row>
    <row r="19" spans="1:4" x14ac:dyDescent="0.25">
      <c r="A19" s="32">
        <v>2000</v>
      </c>
      <c r="B19" s="32" t="s">
        <v>94</v>
      </c>
      <c r="C19" s="40"/>
      <c r="D19" s="32"/>
    </row>
    <row r="20" spans="1:4" ht="45" x14ac:dyDescent="0.25">
      <c r="A20" s="32">
        <v>3000</v>
      </c>
      <c r="B20" s="32" t="s">
        <v>15</v>
      </c>
      <c r="C20" s="40" t="s">
        <v>152</v>
      </c>
      <c r="D20" s="32" t="s">
        <v>153</v>
      </c>
    </row>
  </sheetData>
  <hyperlinks>
    <hyperlink ref="C2" r:id="rId1"/>
    <hyperlink ref="C16" r:id="rId2"/>
    <hyperlink ref="C15" r:id="rId3"/>
    <hyperlink ref="C7" r:id="rId4"/>
    <hyperlink ref="C4" r:id="rId5"/>
    <hyperlink ref="C14" r:id="rId6"/>
    <hyperlink ref="C17" r:id="rId7"/>
    <hyperlink ref="C5" r:id="rId8"/>
    <hyperlink ref="C8" r:id="rId9"/>
    <hyperlink ref="C9" r:id="rId10"/>
    <hyperlink ref="C10" r:id="rId11"/>
    <hyperlink ref="C12" r:id="rId12"/>
    <hyperlink ref="C6" r:id="rId13"/>
    <hyperlink ref="C13" r:id="rId14"/>
    <hyperlink ref="C20" r:id="rId15"/>
  </hyperlinks>
  <pageMargins left="0.7" right="0.7" top="0.75" bottom="0.75" header="0.3" footer="0.3"/>
  <pageSetup orientation="portrait" r:id="rId16"/>
  <tableParts count="1">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499984740745262"/>
    <pageSetUpPr fitToPage="1"/>
  </sheetPr>
  <dimension ref="A1:L65"/>
  <sheetViews>
    <sheetView showGridLines="0" tabSelected="1" zoomScale="130" zoomScaleNormal="130" workbookViewId="0">
      <pane xSplit="3" ySplit="1" topLeftCell="D2" activePane="bottomRight" state="frozen"/>
      <selection activeCell="A7" sqref="A7:XFD7"/>
      <selection pane="topRight" activeCell="A7" sqref="A7:XFD7"/>
      <selection pane="bottomLeft" activeCell="A7" sqref="A7:XFD7"/>
      <selection pane="bottomRight" activeCell="C2" sqref="C2"/>
    </sheetView>
  </sheetViews>
  <sheetFormatPr defaultRowHeight="15" x14ac:dyDescent="0.25"/>
  <cols>
    <col min="1" max="1" width="5.42578125" customWidth="1"/>
    <col min="2" max="2" width="42.85546875" customWidth="1"/>
    <col min="3" max="3" width="16.85546875" customWidth="1"/>
    <col min="4" max="4" width="21" customWidth="1"/>
    <col min="5" max="6" width="7.140625" customWidth="1"/>
    <col min="7" max="11" width="6.140625" customWidth="1"/>
    <col min="12" max="12" width="115" customWidth="1"/>
  </cols>
  <sheetData>
    <row r="1" spans="1:12" ht="40.5" customHeight="1" x14ac:dyDescent="0.25">
      <c r="A1" s="21" t="s">
        <v>55</v>
      </c>
      <c r="B1" s="21" t="s">
        <v>4</v>
      </c>
      <c r="C1" s="3" t="s">
        <v>16</v>
      </c>
      <c r="D1" s="3" t="s">
        <v>54</v>
      </c>
      <c r="E1" s="31" t="s">
        <v>53</v>
      </c>
      <c r="F1" s="20" t="s">
        <v>98</v>
      </c>
      <c r="G1" s="17" t="s">
        <v>2</v>
      </c>
      <c r="H1" s="18" t="s">
        <v>12</v>
      </c>
      <c r="I1" s="17" t="s">
        <v>0</v>
      </c>
      <c r="J1" s="17" t="s">
        <v>1</v>
      </c>
      <c r="K1" s="19" t="s">
        <v>31</v>
      </c>
      <c r="L1" s="3" t="s">
        <v>10</v>
      </c>
    </row>
    <row r="2" spans="1:12" ht="30" x14ac:dyDescent="0.25">
      <c r="A2" s="21">
        <v>1</v>
      </c>
      <c r="B2" s="21" t="str">
        <f>VLOOKUP(Answer_Table[[#This Row],[Q'#]],QuestionLkup,2,FALSE)</f>
        <v>Will master data related items be created such as relationships or cross references?</v>
      </c>
      <c r="C2" s="25" t="s">
        <v>59</v>
      </c>
      <c r="D2" s="25" t="str">
        <f>CONCATENATE(Answer_Table[[#This Row],[Q'#]],"*",Answer_Table[[#This Row],[Answer]])</f>
        <v>1*Not Answered</v>
      </c>
      <c r="E2" s="31">
        <v>3000</v>
      </c>
      <c r="F2" s="20">
        <v>0</v>
      </c>
      <c r="G2" s="3">
        <v>0</v>
      </c>
      <c r="H2" s="3">
        <v>0</v>
      </c>
      <c r="I2" s="3">
        <v>0</v>
      </c>
      <c r="J2" s="3">
        <v>0</v>
      </c>
      <c r="K2" s="3">
        <v>0</v>
      </c>
      <c r="L2" s="25" t="s">
        <v>106</v>
      </c>
    </row>
    <row r="3" spans="1:12" s="24" customFormat="1" ht="30" x14ac:dyDescent="0.25">
      <c r="A3" s="21">
        <v>1</v>
      </c>
      <c r="B3" s="21" t="str">
        <f>VLOOKUP(Answer_Table[[#This Row],[Q'#]],QuestionLkup,2,FALSE)</f>
        <v>Will master data related items be created such as relationships or cross references?</v>
      </c>
      <c r="C3" s="25" t="s">
        <v>18</v>
      </c>
      <c r="D3" s="25" t="str">
        <f>CONCATENATE(Answer_Table[[#This Row],[Q'#]],"*",Answer_Table[[#This Row],[Answer]])</f>
        <v>1*Unsure</v>
      </c>
      <c r="E3" s="31">
        <v>3000</v>
      </c>
      <c r="F3" s="20"/>
      <c r="G3" s="34">
        <v>0</v>
      </c>
      <c r="H3" s="34">
        <v>0</v>
      </c>
      <c r="I3" s="34">
        <v>0</v>
      </c>
      <c r="J3" s="34">
        <v>0</v>
      </c>
      <c r="K3" s="34">
        <v>0</v>
      </c>
      <c r="L3" s="25" t="s">
        <v>109</v>
      </c>
    </row>
    <row r="4" spans="1:12" s="24" customFormat="1" ht="30" x14ac:dyDescent="0.25">
      <c r="A4" s="21">
        <v>1</v>
      </c>
      <c r="B4" s="21" t="str">
        <f>VLOOKUP(Answer_Table[[#This Row],[Q'#]],QuestionLkup,2,FALSE)</f>
        <v>Will master data related items be created such as relationships or cross references?</v>
      </c>
      <c r="C4" s="25" t="s">
        <v>17</v>
      </c>
      <c r="D4" s="25" t="str">
        <f>CONCATENATE(Answer_Table[[#This Row],[Q'#]],"*",Answer_Table[[#This Row],[Answer]])</f>
        <v>1*Yes</v>
      </c>
      <c r="E4" s="31">
        <v>2</v>
      </c>
      <c r="F4" s="20"/>
      <c r="G4" s="34">
        <v>0</v>
      </c>
      <c r="H4" s="34">
        <v>0</v>
      </c>
      <c r="I4" s="34">
        <v>2</v>
      </c>
      <c r="J4" s="34">
        <v>2</v>
      </c>
      <c r="K4" s="34">
        <v>0</v>
      </c>
      <c r="L4" s="25" t="s">
        <v>110</v>
      </c>
    </row>
    <row r="5" spans="1:12" s="24" customFormat="1" ht="30" x14ac:dyDescent="0.25">
      <c r="A5" s="21">
        <v>1</v>
      </c>
      <c r="B5" s="21" t="str">
        <f>VLOOKUP(Answer_Table[[#This Row],[Q'#]],QuestionLkup,2,FALSE)</f>
        <v>Will master data related items be created such as relationships or cross references?</v>
      </c>
      <c r="C5" s="25" t="s">
        <v>19</v>
      </c>
      <c r="D5" s="25" t="str">
        <f>CONCATENATE(Answer_Table[[#This Row],[Q'#]],"*",Answer_Table[[#This Row],[Answer]])</f>
        <v>1*No</v>
      </c>
      <c r="E5" s="31">
        <v>2</v>
      </c>
      <c r="F5" s="20"/>
      <c r="G5" s="34">
        <v>0</v>
      </c>
      <c r="H5" s="34">
        <v>0</v>
      </c>
      <c r="I5" s="34">
        <v>0</v>
      </c>
      <c r="J5" s="34">
        <v>0</v>
      </c>
      <c r="K5" s="34">
        <v>0</v>
      </c>
      <c r="L5" s="25" t="s">
        <v>111</v>
      </c>
    </row>
    <row r="6" spans="1:12" ht="45" x14ac:dyDescent="0.25">
      <c r="A6" s="21">
        <v>2</v>
      </c>
      <c r="B6" s="21" t="str">
        <f>VLOOKUP(Answer_Table[[#This Row],[Q'#]],QuestionLkup,2,FALSE)</f>
        <v>Will master data be produced and/or consumed as part of the effort?</v>
      </c>
      <c r="C6" s="25" t="s">
        <v>59</v>
      </c>
      <c r="D6" s="25" t="str">
        <f>CONCATENATE(Answer_Table[[#This Row],[Q'#]],"*",Answer_Table[[#This Row],[Answer]])</f>
        <v>2*Not Answered</v>
      </c>
      <c r="E6" s="31">
        <v>3000</v>
      </c>
      <c r="F6" s="20">
        <v>0</v>
      </c>
      <c r="G6" s="25">
        <v>0</v>
      </c>
      <c r="H6" s="25">
        <v>0</v>
      </c>
      <c r="I6" s="25">
        <v>0</v>
      </c>
      <c r="J6" s="25">
        <v>0</v>
      </c>
      <c r="K6" s="25">
        <v>0</v>
      </c>
      <c r="L6" s="25" t="s">
        <v>112</v>
      </c>
    </row>
    <row r="7" spans="1:12" s="33" customFormat="1" ht="45" x14ac:dyDescent="0.25">
      <c r="A7" s="36">
        <v>2</v>
      </c>
      <c r="B7" s="36" t="str">
        <f>VLOOKUP(Answer_Table[[#This Row],[Q'#]],QuestionLkup,2,FALSE)</f>
        <v>Will master data be produced and/or consumed as part of the effort?</v>
      </c>
      <c r="C7" s="34" t="s">
        <v>18</v>
      </c>
      <c r="D7" s="34" t="str">
        <f>CONCATENATE(Answer_Table[[#This Row],[Q'#]],"*",Answer_Table[[#This Row],[Answer]])</f>
        <v>2*Unsure</v>
      </c>
      <c r="E7" s="31">
        <v>3000</v>
      </c>
      <c r="F7" s="35"/>
      <c r="G7" s="34">
        <v>0</v>
      </c>
      <c r="H7" s="34">
        <v>0</v>
      </c>
      <c r="I7" s="34">
        <v>0</v>
      </c>
      <c r="J7" s="34">
        <v>0</v>
      </c>
      <c r="K7" s="34">
        <v>0</v>
      </c>
      <c r="L7" s="34" t="s">
        <v>113</v>
      </c>
    </row>
    <row r="8" spans="1:12" s="33" customFormat="1" ht="30" x14ac:dyDescent="0.25">
      <c r="A8" s="36">
        <v>2</v>
      </c>
      <c r="B8" s="36" t="str">
        <f>VLOOKUP(Answer_Table[[#This Row],[Q'#]],QuestionLkup,2,FALSE)</f>
        <v>Will master data be produced and/or consumed as part of the effort?</v>
      </c>
      <c r="C8" s="34" t="s">
        <v>17</v>
      </c>
      <c r="D8" s="34" t="str">
        <f>CONCATENATE(Answer_Table[[#This Row],[Q'#]],"*",Answer_Table[[#This Row],[Answer]])</f>
        <v>2*Yes</v>
      </c>
      <c r="E8" s="31">
        <v>4</v>
      </c>
      <c r="F8" s="35"/>
      <c r="G8" s="34">
        <v>0</v>
      </c>
      <c r="H8" s="34">
        <v>0</v>
      </c>
      <c r="I8" s="34">
        <v>0</v>
      </c>
      <c r="J8" s="34">
        <v>0</v>
      </c>
      <c r="K8" s="34">
        <v>0</v>
      </c>
      <c r="L8" s="34" t="s">
        <v>88</v>
      </c>
    </row>
    <row r="9" spans="1:12" s="33" customFormat="1" ht="30" x14ac:dyDescent="0.25">
      <c r="A9" s="36">
        <v>2</v>
      </c>
      <c r="B9" s="36" t="str">
        <f>VLOOKUP(Answer_Table[[#This Row],[Q'#]],QuestionLkup,2,FALSE)</f>
        <v>Will master data be produced and/or consumed as part of the effort?</v>
      </c>
      <c r="C9" s="34" t="s">
        <v>19</v>
      </c>
      <c r="D9" s="34" t="str">
        <f>CONCATENATE(Answer_Table[[#This Row],[Q'#]],"*",Answer_Table[[#This Row],[Answer]])</f>
        <v>2*No</v>
      </c>
      <c r="E9" s="31">
        <v>4000</v>
      </c>
      <c r="F9" s="35"/>
      <c r="G9" s="34">
        <v>0</v>
      </c>
      <c r="H9" s="34">
        <v>0</v>
      </c>
      <c r="I9" s="34">
        <v>0</v>
      </c>
      <c r="J9" s="34">
        <v>0</v>
      </c>
      <c r="K9" s="34">
        <v>0</v>
      </c>
      <c r="L9" s="34" t="s">
        <v>58</v>
      </c>
    </row>
    <row r="10" spans="1:12" ht="30" x14ac:dyDescent="0.25">
      <c r="A10" s="21">
        <v>3</v>
      </c>
      <c r="B10" s="21" t="str">
        <f>VLOOKUP(Answer_Table[[#This Row],[Q'#]],QuestionLkup,2,FALSE)</f>
        <v>How much of the master data is already produced today?</v>
      </c>
      <c r="C10" s="25" t="s">
        <v>59</v>
      </c>
      <c r="D10" s="25" t="str">
        <f>CONCATENATE(Answer_Table[[#This Row],[Q'#]],"*",Answer_Table[[#This Row],[Answer]])</f>
        <v>3*Not Answered</v>
      </c>
      <c r="E10" s="31">
        <v>3000</v>
      </c>
      <c r="F10" s="20">
        <v>0</v>
      </c>
      <c r="G10" s="25">
        <v>0</v>
      </c>
      <c r="H10" s="25">
        <v>0</v>
      </c>
      <c r="I10" s="25">
        <v>0</v>
      </c>
      <c r="J10" s="25">
        <v>0</v>
      </c>
      <c r="K10" s="25">
        <v>0</v>
      </c>
      <c r="L10" s="25" t="s">
        <v>118</v>
      </c>
    </row>
    <row r="11" spans="1:12" s="37" customFormat="1" ht="30" x14ac:dyDescent="0.25">
      <c r="A11" s="42">
        <v>3</v>
      </c>
      <c r="B11" s="42" t="str">
        <f>VLOOKUP(Answer_Table[[#This Row],[Q'#]],QuestionLkup,2,FALSE)</f>
        <v>How much of the master data is already produced today?</v>
      </c>
      <c r="C11" s="39" t="s">
        <v>18</v>
      </c>
      <c r="D11" s="39" t="str">
        <f>CONCATENATE(Answer_Table[[#This Row],[Q'#]],"*",Answer_Table[[#This Row],[Answer]])</f>
        <v>3*Unsure</v>
      </c>
      <c r="E11" s="31">
        <v>3000</v>
      </c>
      <c r="F11" s="41"/>
      <c r="G11" s="39">
        <v>0</v>
      </c>
      <c r="H11" s="39">
        <v>0</v>
      </c>
      <c r="I11" s="39">
        <v>0</v>
      </c>
      <c r="J11" s="39">
        <v>0</v>
      </c>
      <c r="K11" s="39">
        <v>0</v>
      </c>
      <c r="L11" s="39" t="s">
        <v>115</v>
      </c>
    </row>
    <row r="12" spans="1:12" s="37" customFormat="1" ht="30" x14ac:dyDescent="0.25">
      <c r="A12" s="42">
        <v>3</v>
      </c>
      <c r="B12" s="42" t="str">
        <f>VLOOKUP(Answer_Table[[#This Row],[Q'#]],QuestionLkup,2,FALSE)</f>
        <v>How much of the master data is already produced today?</v>
      </c>
      <c r="C12" s="39" t="s">
        <v>81</v>
      </c>
      <c r="D12" s="39" t="str">
        <f>CONCATENATE(Answer_Table[[#This Row],[Q'#]],"*",Answer_Table[[#This Row],[Answer]])</f>
        <v>3*All of it</v>
      </c>
      <c r="E12" s="31">
        <v>10</v>
      </c>
      <c r="F12" s="41"/>
      <c r="G12" s="39">
        <v>0</v>
      </c>
      <c r="H12" s="39">
        <v>0</v>
      </c>
      <c r="I12" s="39">
        <v>0</v>
      </c>
      <c r="J12" s="39">
        <v>0</v>
      </c>
      <c r="K12" s="39">
        <v>0</v>
      </c>
      <c r="L12" s="39" t="s">
        <v>119</v>
      </c>
    </row>
    <row r="13" spans="1:12" s="37" customFormat="1" ht="30" x14ac:dyDescent="0.25">
      <c r="A13" s="42">
        <v>3</v>
      </c>
      <c r="B13" s="42" t="str">
        <f>VLOOKUP(Answer_Table[[#This Row],[Q'#]],QuestionLkup,2,FALSE)</f>
        <v>How much of the master data is already produced today?</v>
      </c>
      <c r="C13" s="39" t="s">
        <v>82</v>
      </c>
      <c r="D13" s="39" t="str">
        <f>CONCATENATE(Answer_Table[[#This Row],[Q'#]],"*",Answer_Table[[#This Row],[Answer]])</f>
        <v>3*Some of it</v>
      </c>
      <c r="E13" s="31">
        <v>30</v>
      </c>
      <c r="F13" s="41"/>
      <c r="G13" s="39">
        <v>0</v>
      </c>
      <c r="H13" s="39">
        <v>0</v>
      </c>
      <c r="I13" s="39">
        <v>0</v>
      </c>
      <c r="J13" s="39">
        <v>0</v>
      </c>
      <c r="K13" s="39">
        <v>0</v>
      </c>
      <c r="L13" s="39" t="s">
        <v>120</v>
      </c>
    </row>
    <row r="14" spans="1:12" s="37" customFormat="1" ht="30" x14ac:dyDescent="0.25">
      <c r="A14" s="42">
        <v>3</v>
      </c>
      <c r="B14" s="42" t="str">
        <f>VLOOKUP(Answer_Table[[#This Row],[Q'#]],QuestionLkup,2,FALSE)</f>
        <v>How much of the master data is already produced today?</v>
      </c>
      <c r="C14" s="39" t="s">
        <v>83</v>
      </c>
      <c r="D14" s="39" t="str">
        <f>CONCATENATE(Answer_Table[[#This Row],[Q'#]],"*",Answer_Table[[#This Row],[Answer]])</f>
        <v>3*None of it</v>
      </c>
      <c r="E14" s="31">
        <v>60</v>
      </c>
      <c r="F14" s="41"/>
      <c r="G14" s="39">
        <v>0</v>
      </c>
      <c r="H14" s="39">
        <v>0</v>
      </c>
      <c r="I14" s="39">
        <v>0</v>
      </c>
      <c r="J14" s="39">
        <v>0</v>
      </c>
      <c r="K14" s="39">
        <v>0</v>
      </c>
      <c r="L14" s="39" t="s">
        <v>121</v>
      </c>
    </row>
    <row r="15" spans="1:12" s="37" customFormat="1" ht="30" x14ac:dyDescent="0.25">
      <c r="A15" s="42">
        <v>4</v>
      </c>
      <c r="B15" s="42" t="str">
        <f>VLOOKUP(Answer_Table[[#This Row],[Q'#]],QuestionLkup,2,FALSE)</f>
        <v>Does the affected master data fit into a currently defined FHR data Subject Area?</v>
      </c>
      <c r="C15" s="39" t="s">
        <v>59</v>
      </c>
      <c r="D15" s="39" t="str">
        <f>CONCATENATE(Answer_Table[[#This Row],[Q'#]],"*",Answer_Table[[#This Row],[Answer]])</f>
        <v>4*Not Answered</v>
      </c>
      <c r="E15" s="31">
        <v>3000</v>
      </c>
      <c r="F15" s="41"/>
      <c r="G15" s="39">
        <v>0</v>
      </c>
      <c r="H15" s="39">
        <v>0</v>
      </c>
      <c r="I15" s="39">
        <v>0</v>
      </c>
      <c r="J15" s="39">
        <v>0</v>
      </c>
      <c r="K15" s="39">
        <v>0</v>
      </c>
      <c r="L15" s="39" t="s">
        <v>156</v>
      </c>
    </row>
    <row r="16" spans="1:12" s="37" customFormat="1" ht="30" x14ac:dyDescent="0.25">
      <c r="A16" s="42">
        <v>4</v>
      </c>
      <c r="B16" s="42" t="str">
        <f>VLOOKUP(Answer_Table[[#This Row],[Q'#]],QuestionLkup,2,FALSE)</f>
        <v>Does the affected master data fit into a currently defined FHR data Subject Area?</v>
      </c>
      <c r="C16" s="39" t="s">
        <v>18</v>
      </c>
      <c r="D16" s="39" t="str">
        <f>CONCATENATE(Answer_Table[[#This Row],[Q'#]],"*",Answer_Table[[#This Row],[Answer]])</f>
        <v>4*Unsure</v>
      </c>
      <c r="E16" s="31">
        <v>3000</v>
      </c>
      <c r="F16" s="41"/>
      <c r="G16" s="39">
        <v>0</v>
      </c>
      <c r="H16" s="39">
        <v>0</v>
      </c>
      <c r="I16" s="39">
        <v>0</v>
      </c>
      <c r="J16" s="39">
        <v>0</v>
      </c>
      <c r="K16" s="39">
        <v>0</v>
      </c>
      <c r="L16" s="39" t="s">
        <v>122</v>
      </c>
    </row>
    <row r="17" spans="1:12" s="37" customFormat="1" ht="30" x14ac:dyDescent="0.25">
      <c r="A17" s="42">
        <v>4</v>
      </c>
      <c r="B17" s="42" t="str">
        <f>VLOOKUP(Answer_Table[[#This Row],[Q'#]],QuestionLkup,2,FALSE)</f>
        <v>Does the affected master data fit into a currently defined FHR data Subject Area?</v>
      </c>
      <c r="C17" s="39" t="s">
        <v>17</v>
      </c>
      <c r="D17" s="39" t="str">
        <f>CONCATENATE(Answer_Table[[#This Row],[Q'#]],"*",Answer_Table[[#This Row],[Answer]])</f>
        <v>4*Yes</v>
      </c>
      <c r="E17" s="31">
        <v>3</v>
      </c>
      <c r="F17" s="41"/>
      <c r="G17" s="39">
        <v>0</v>
      </c>
      <c r="H17" s="39">
        <v>0</v>
      </c>
      <c r="I17" s="39">
        <v>0</v>
      </c>
      <c r="J17" s="39">
        <v>0</v>
      </c>
      <c r="K17" s="39">
        <v>0</v>
      </c>
      <c r="L17" s="39" t="s">
        <v>123</v>
      </c>
    </row>
    <row r="18" spans="1:12" s="37" customFormat="1" ht="30" x14ac:dyDescent="0.25">
      <c r="A18" s="42">
        <v>4</v>
      </c>
      <c r="B18" s="42" t="str">
        <f>VLOOKUP(Answer_Table[[#This Row],[Q'#]],QuestionLkup,2,FALSE)</f>
        <v>Does the affected master data fit into a currently defined FHR data Subject Area?</v>
      </c>
      <c r="C18" s="39" t="s">
        <v>19</v>
      </c>
      <c r="D18" s="39" t="str">
        <f>CONCATENATE(Answer_Table[[#This Row],[Q'#]],"*",Answer_Table[[#This Row],[Answer]])</f>
        <v>4*No</v>
      </c>
      <c r="E18" s="31">
        <v>3</v>
      </c>
      <c r="F18" s="41"/>
      <c r="G18" s="39">
        <v>0</v>
      </c>
      <c r="H18" s="39">
        <v>0</v>
      </c>
      <c r="I18" s="39">
        <v>0</v>
      </c>
      <c r="J18" s="39">
        <v>0</v>
      </c>
      <c r="K18" s="39">
        <v>0</v>
      </c>
      <c r="L18" s="39" t="s">
        <v>124</v>
      </c>
    </row>
    <row r="19" spans="1:12" ht="30" x14ac:dyDescent="0.25">
      <c r="A19" s="21">
        <v>10</v>
      </c>
      <c r="B19" s="21" t="str">
        <f>VLOOKUP(Answer_Table[[#This Row],[Q'#]],QuestionLkup,2,FALSE)</f>
        <v>Is the master data  used by one (UB1), some (UBSome), or all Consumers (UBAll)?</v>
      </c>
      <c r="C19" s="25" t="s">
        <v>59</v>
      </c>
      <c r="D19" s="25" t="str">
        <f>CONCATENATE(Answer_Table[[#This Row],[Q'#]],"*",Answer_Table[[#This Row],[Answer]])</f>
        <v>10*Not Answered</v>
      </c>
      <c r="E19" s="31">
        <v>3000</v>
      </c>
      <c r="F19" s="20">
        <v>0</v>
      </c>
      <c r="G19" s="25">
        <v>0</v>
      </c>
      <c r="H19" s="25">
        <v>0</v>
      </c>
      <c r="I19" s="25">
        <v>0</v>
      </c>
      <c r="J19" s="25">
        <v>0</v>
      </c>
      <c r="K19" s="25">
        <v>0</v>
      </c>
      <c r="L19" s="25" t="s">
        <v>128</v>
      </c>
    </row>
    <row r="20" spans="1:12" s="37" customFormat="1" ht="30" x14ac:dyDescent="0.25">
      <c r="A20" s="42">
        <v>10</v>
      </c>
      <c r="B20" s="42" t="str">
        <f>VLOOKUP(Answer_Table[[#This Row],[Q'#]],QuestionLkup,2,FALSE)</f>
        <v>Is the master data  used by one (UB1), some (UBSome), or all Consumers (UBAll)?</v>
      </c>
      <c r="C20" s="39" t="s">
        <v>18</v>
      </c>
      <c r="D20" s="39" t="str">
        <f>CONCATENATE(Answer_Table[[#This Row],[Q'#]],"*",Answer_Table[[#This Row],[Answer]])</f>
        <v>10*Unsure</v>
      </c>
      <c r="E20" s="31">
        <v>3000</v>
      </c>
      <c r="F20" s="41"/>
      <c r="G20" s="39">
        <v>0</v>
      </c>
      <c r="H20" s="39">
        <v>0</v>
      </c>
      <c r="I20" s="39">
        <v>0</v>
      </c>
      <c r="J20" s="39">
        <v>0</v>
      </c>
      <c r="K20" s="39">
        <v>0</v>
      </c>
      <c r="L20" s="39" t="s">
        <v>129</v>
      </c>
    </row>
    <row r="21" spans="1:12" s="37" customFormat="1" ht="30" x14ac:dyDescent="0.25">
      <c r="A21" s="42">
        <v>10</v>
      </c>
      <c r="B21" s="42" t="str">
        <f>VLOOKUP(Answer_Table[[#This Row],[Q'#]],QuestionLkup,2,FALSE)</f>
        <v>Is the master data  used by one (UB1), some (UBSome), or all Consumers (UBAll)?</v>
      </c>
      <c r="C21" s="39" t="s">
        <v>77</v>
      </c>
      <c r="D21" s="39" t="str">
        <f>CONCATENATE(Answer_Table[[#This Row],[Q'#]],"*",Answer_Table[[#This Row],[Answer]])</f>
        <v>10*One (UB1)</v>
      </c>
      <c r="E21" s="31">
        <v>12</v>
      </c>
      <c r="F21" s="41"/>
      <c r="G21" s="39">
        <v>0</v>
      </c>
      <c r="H21" s="39">
        <v>0</v>
      </c>
      <c r="I21" s="39">
        <v>0</v>
      </c>
      <c r="J21" s="39">
        <v>0</v>
      </c>
      <c r="K21" s="39">
        <v>0</v>
      </c>
      <c r="L21" s="39" t="s">
        <v>130</v>
      </c>
    </row>
    <row r="22" spans="1:12" s="37" customFormat="1" ht="30" x14ac:dyDescent="0.25">
      <c r="A22" s="42">
        <v>10</v>
      </c>
      <c r="B22" s="42" t="str">
        <f>VLOOKUP(Answer_Table[[#This Row],[Q'#]],QuestionLkup,2,FALSE)</f>
        <v>Is the master data  used by one (UB1), some (UBSome), or all Consumers (UBAll)?</v>
      </c>
      <c r="C22" s="39" t="s">
        <v>78</v>
      </c>
      <c r="D22" s="39" t="str">
        <f>CONCATENATE(Answer_Table[[#This Row],[Q'#]],"*",Answer_Table[[#This Row],[Answer]])</f>
        <v>10*Some (UBSome)</v>
      </c>
      <c r="E22" s="31">
        <v>11</v>
      </c>
      <c r="F22" s="41"/>
      <c r="G22" s="39">
        <v>0</v>
      </c>
      <c r="H22" s="39">
        <v>0</v>
      </c>
      <c r="I22" s="39">
        <v>0</v>
      </c>
      <c r="J22" s="39">
        <v>0</v>
      </c>
      <c r="K22" s="39">
        <v>0</v>
      </c>
      <c r="L22" s="39" t="s">
        <v>131</v>
      </c>
    </row>
    <row r="23" spans="1:12" s="37" customFormat="1" ht="30" x14ac:dyDescent="0.25">
      <c r="A23" s="42">
        <v>10</v>
      </c>
      <c r="B23" s="42" t="str">
        <f>VLOOKUP(Answer_Table[[#This Row],[Q'#]],QuestionLkup,2,FALSE)</f>
        <v>Is the master data  used by one (UB1), some (UBSome), or all Consumers (UBAll)?</v>
      </c>
      <c r="C23" s="39" t="s">
        <v>79</v>
      </c>
      <c r="D23" s="39" t="str">
        <f>CONCATENATE(Answer_Table[[#This Row],[Q'#]],"*",Answer_Table[[#This Row],[Answer]])</f>
        <v>10*All (UBAll)</v>
      </c>
      <c r="E23" s="31">
        <v>11</v>
      </c>
      <c r="F23" s="41"/>
      <c r="G23" s="39">
        <v>0</v>
      </c>
      <c r="H23" s="39">
        <v>0</v>
      </c>
      <c r="I23" s="39">
        <v>0</v>
      </c>
      <c r="J23" s="39">
        <v>0</v>
      </c>
      <c r="K23" s="39">
        <v>0</v>
      </c>
      <c r="L23" s="39" t="s">
        <v>132</v>
      </c>
    </row>
    <row r="24" spans="1:12" ht="30" x14ac:dyDescent="0.25">
      <c r="A24" s="21">
        <v>11</v>
      </c>
      <c r="B24" s="21" t="str">
        <f>VLOOKUP(Answer_Table[[#This Row],[Q'#]],QuestionLkup,2,FALSE)</f>
        <v>Does SMF or an Application currently produce the data?</v>
      </c>
      <c r="C24" s="25" t="s">
        <v>59</v>
      </c>
      <c r="D24" s="3" t="str">
        <f>CONCATENATE(Answer_Table[[#This Row],[Q'#]],"*",Answer_Table[[#This Row],[Answer]])</f>
        <v>11*Not Answered</v>
      </c>
      <c r="E24" s="31">
        <v>3000</v>
      </c>
      <c r="F24" s="20">
        <v>0</v>
      </c>
      <c r="G24" s="25">
        <v>0</v>
      </c>
      <c r="H24" s="25">
        <v>0</v>
      </c>
      <c r="I24" s="25">
        <v>0</v>
      </c>
      <c r="J24" s="25">
        <v>0</v>
      </c>
      <c r="K24" s="25">
        <v>0</v>
      </c>
      <c r="L24" s="25" t="s">
        <v>135</v>
      </c>
    </row>
    <row r="25" spans="1:12" s="37" customFormat="1" ht="30" x14ac:dyDescent="0.25">
      <c r="A25" s="42">
        <v>11</v>
      </c>
      <c r="B25" s="42" t="str">
        <f>VLOOKUP(Answer_Table[[#This Row],[Q'#]],QuestionLkup,2,FALSE)</f>
        <v>Does SMF or an Application currently produce the data?</v>
      </c>
      <c r="C25" s="39" t="s">
        <v>18</v>
      </c>
      <c r="D25" s="39" t="str">
        <f>CONCATENATE(Answer_Table[[#This Row],[Q'#]],"*",Answer_Table[[#This Row],[Answer]])</f>
        <v>11*Unsure</v>
      </c>
      <c r="E25" s="31">
        <v>3000</v>
      </c>
      <c r="F25" s="41"/>
      <c r="G25" s="39">
        <v>0</v>
      </c>
      <c r="H25" s="39">
        <v>0</v>
      </c>
      <c r="I25" s="39">
        <v>0</v>
      </c>
      <c r="J25" s="39">
        <v>0</v>
      </c>
      <c r="K25" s="39">
        <v>0</v>
      </c>
      <c r="L25" s="39" t="s">
        <v>136</v>
      </c>
    </row>
    <row r="26" spans="1:12" s="37" customFormat="1" ht="30" x14ac:dyDescent="0.25">
      <c r="A26" s="42">
        <v>11</v>
      </c>
      <c r="B26" s="42" t="str">
        <f>VLOOKUP(Answer_Table[[#This Row],[Q'#]],QuestionLkup,2,FALSE)</f>
        <v>Does SMF or an Application currently produce the data?</v>
      </c>
      <c r="C26" s="39" t="s">
        <v>95</v>
      </c>
      <c r="D26" s="39" t="str">
        <f>CONCATENATE(Answer_Table[[#This Row],[Q'#]],"*",Answer_Table[[#This Row],[Answer]])</f>
        <v>11*SMF</v>
      </c>
      <c r="E26" s="31">
        <v>4000</v>
      </c>
      <c r="F26" s="41"/>
      <c r="G26" s="39">
        <v>0</v>
      </c>
      <c r="H26" s="39">
        <v>0</v>
      </c>
      <c r="I26" s="39">
        <v>0</v>
      </c>
      <c r="J26" s="39">
        <v>5</v>
      </c>
      <c r="K26" s="39">
        <v>0</v>
      </c>
      <c r="L26" s="39" t="s">
        <v>137</v>
      </c>
    </row>
    <row r="27" spans="1:12" s="37" customFormat="1" ht="30" x14ac:dyDescent="0.25">
      <c r="A27" s="42">
        <v>11</v>
      </c>
      <c r="B27" s="42" t="str">
        <f>VLOOKUP(Answer_Table[[#This Row],[Q'#]],QuestionLkup,2,FALSE)</f>
        <v>Does SMF or an Application currently produce the data?</v>
      </c>
      <c r="C27" s="39" t="s">
        <v>96</v>
      </c>
      <c r="D27" s="39" t="str">
        <f>CONCATENATE(Answer_Table[[#This Row],[Q'#]],"*",Answer_Table[[#This Row],[Answer]])</f>
        <v>11*Application</v>
      </c>
      <c r="E27" s="31">
        <v>4000</v>
      </c>
      <c r="F27" s="41"/>
      <c r="G27" s="39">
        <v>0</v>
      </c>
      <c r="H27" s="39">
        <v>2</v>
      </c>
      <c r="I27" s="39">
        <v>4</v>
      </c>
      <c r="J27" s="39">
        <v>0</v>
      </c>
      <c r="K27" s="39">
        <v>0</v>
      </c>
      <c r="L27" s="39" t="s">
        <v>157</v>
      </c>
    </row>
    <row r="28" spans="1:12" ht="30" x14ac:dyDescent="0.25">
      <c r="A28" s="21">
        <v>12</v>
      </c>
      <c r="B28" s="21" t="str">
        <f>VLOOKUP(Answer_Table[[#This Row],[Q'#]],QuestionLkup,2,FALSE)</f>
        <v>Does SMF or an Application currently produce the data?</v>
      </c>
      <c r="C28" s="25" t="s">
        <v>59</v>
      </c>
      <c r="D28" s="23" t="str">
        <f>CONCATENATE(Answer_Table[[#This Row],[Q'#]],"*",Answer_Table[[#This Row],[Answer]])</f>
        <v>12*Not Answered</v>
      </c>
      <c r="E28" s="31">
        <v>3000</v>
      </c>
      <c r="F28" s="20">
        <v>0</v>
      </c>
      <c r="G28" s="39">
        <v>0</v>
      </c>
      <c r="H28" s="39">
        <v>0</v>
      </c>
      <c r="I28" s="39">
        <v>0</v>
      </c>
      <c r="J28" s="39">
        <v>0</v>
      </c>
      <c r="K28" s="39">
        <v>0</v>
      </c>
      <c r="L28" s="39" t="s">
        <v>138</v>
      </c>
    </row>
    <row r="29" spans="1:12" s="37" customFormat="1" ht="30" x14ac:dyDescent="0.25">
      <c r="A29" s="42">
        <v>12</v>
      </c>
      <c r="B29" s="42" t="str">
        <f>VLOOKUP(Answer_Table[[#This Row],[Q'#]],QuestionLkup,2,FALSE)</f>
        <v>Does SMF or an Application currently produce the data?</v>
      </c>
      <c r="C29" s="39" t="s">
        <v>18</v>
      </c>
      <c r="D29" s="39" t="str">
        <f>CONCATENATE(Answer_Table[[#This Row],[Q'#]],"*",Answer_Table[[#This Row],[Answer]])</f>
        <v>12*Unsure</v>
      </c>
      <c r="E29" s="31">
        <v>3000</v>
      </c>
      <c r="F29" s="41"/>
      <c r="G29" s="39">
        <v>0</v>
      </c>
      <c r="H29" s="39">
        <v>0</v>
      </c>
      <c r="I29" s="39">
        <v>0</v>
      </c>
      <c r="J29" s="39">
        <v>0</v>
      </c>
      <c r="K29" s="39">
        <v>0</v>
      </c>
      <c r="L29" s="39" t="s">
        <v>139</v>
      </c>
    </row>
    <row r="30" spans="1:12" s="37" customFormat="1" ht="30" x14ac:dyDescent="0.25">
      <c r="A30" s="42">
        <v>12</v>
      </c>
      <c r="B30" s="42" t="str">
        <f>VLOOKUP(Answer_Table[[#This Row],[Q'#]],QuestionLkup,2,FALSE)</f>
        <v>Does SMF or an Application currently produce the data?</v>
      </c>
      <c r="C30" s="39" t="s">
        <v>95</v>
      </c>
      <c r="D30" s="39" t="str">
        <f>CONCATENATE(Answer_Table[[#This Row],[Q'#]],"*",Answer_Table[[#This Row],[Answer]])</f>
        <v>12*SMF</v>
      </c>
      <c r="E30" s="31">
        <v>4000</v>
      </c>
      <c r="F30" s="41"/>
      <c r="G30" s="39">
        <v>0</v>
      </c>
      <c r="H30" s="39">
        <v>0</v>
      </c>
      <c r="I30" s="39">
        <v>0</v>
      </c>
      <c r="J30" s="39">
        <v>5</v>
      </c>
      <c r="K30" s="39">
        <v>0</v>
      </c>
      <c r="L30" s="39" t="s">
        <v>140</v>
      </c>
    </row>
    <row r="31" spans="1:12" s="37" customFormat="1" ht="30" x14ac:dyDescent="0.25">
      <c r="A31" s="42">
        <v>12</v>
      </c>
      <c r="B31" s="42" t="str">
        <f>VLOOKUP(Answer_Table[[#This Row],[Q'#]],QuestionLkup,2,FALSE)</f>
        <v>Does SMF or an Application currently produce the data?</v>
      </c>
      <c r="C31" s="39" t="s">
        <v>96</v>
      </c>
      <c r="D31" s="39" t="str">
        <f>CONCATENATE(Answer_Table[[#This Row],[Q'#]],"*",Answer_Table[[#This Row],[Answer]])</f>
        <v>12*Application</v>
      </c>
      <c r="E31" s="31">
        <v>14</v>
      </c>
      <c r="F31" s="41"/>
      <c r="G31" s="39">
        <v>4</v>
      </c>
      <c r="H31" s="39">
        <v>2</v>
      </c>
      <c r="I31" s="39">
        <v>0</v>
      </c>
      <c r="J31" s="39">
        <v>0</v>
      </c>
      <c r="K31" s="39">
        <v>0</v>
      </c>
      <c r="L31" s="39" t="s">
        <v>141</v>
      </c>
    </row>
    <row r="32" spans="1:12" ht="30" x14ac:dyDescent="0.25">
      <c r="A32" s="21">
        <v>14</v>
      </c>
      <c r="B32" s="21" t="str">
        <f>VLOOKUP(Answer_Table[[#This Row],[Q'#]],QuestionLkup,2,FALSE)</f>
        <v>Will the current work change the usage of the master data to Use by Some?</v>
      </c>
      <c r="C32" s="25" t="s">
        <v>59</v>
      </c>
      <c r="D32" s="23" t="str">
        <f>CONCATENATE(Answer_Table[[#This Row],[Q'#]],"*",Answer_Table[[#This Row],[Answer]])</f>
        <v>14*Not Answered</v>
      </c>
      <c r="E32" s="31">
        <v>3000</v>
      </c>
      <c r="F32" s="20">
        <v>0</v>
      </c>
      <c r="G32" s="25">
        <v>0</v>
      </c>
      <c r="H32" s="25">
        <v>0</v>
      </c>
      <c r="I32" s="25">
        <v>0</v>
      </c>
      <c r="J32" s="25">
        <v>0</v>
      </c>
      <c r="K32" s="25">
        <v>0</v>
      </c>
      <c r="L32" s="25" t="s">
        <v>142</v>
      </c>
    </row>
    <row r="33" spans="1:12" s="37" customFormat="1" ht="30" x14ac:dyDescent="0.25">
      <c r="A33" s="42">
        <v>14</v>
      </c>
      <c r="B33" s="42" t="str">
        <f>VLOOKUP(Answer_Table[[#This Row],[Q'#]],QuestionLkup,2,FALSE)</f>
        <v>Will the current work change the usage of the master data to Use by Some?</v>
      </c>
      <c r="C33" s="39" t="s">
        <v>18</v>
      </c>
      <c r="D33" s="39" t="str">
        <f>CONCATENATE(Answer_Table[[#This Row],[Q'#]],"*",Answer_Table[[#This Row],[Answer]])</f>
        <v>14*Unsure</v>
      </c>
      <c r="E33" s="31">
        <v>3000</v>
      </c>
      <c r="F33" s="41"/>
      <c r="G33" s="39">
        <v>0</v>
      </c>
      <c r="H33" s="39">
        <v>0</v>
      </c>
      <c r="I33" s="39">
        <v>0</v>
      </c>
      <c r="J33" s="39">
        <v>0</v>
      </c>
      <c r="K33" s="39">
        <v>0</v>
      </c>
      <c r="L33" s="39" t="s">
        <v>143</v>
      </c>
    </row>
    <row r="34" spans="1:12" s="37" customFormat="1" ht="30" x14ac:dyDescent="0.25">
      <c r="A34" s="42">
        <v>14</v>
      </c>
      <c r="B34" s="42" t="str">
        <f>VLOOKUP(Answer_Table[[#This Row],[Q'#]],QuestionLkup,2,FALSE)</f>
        <v>Will the current work change the usage of the master data to Use by Some?</v>
      </c>
      <c r="C34" s="39" t="s">
        <v>17</v>
      </c>
      <c r="D34" s="39" t="str">
        <f>CONCATENATE(Answer_Table[[#This Row],[Q'#]],"*",Answer_Table[[#This Row],[Answer]])</f>
        <v>14*Yes</v>
      </c>
      <c r="E34" s="31">
        <v>4000</v>
      </c>
      <c r="F34" s="41"/>
      <c r="G34" s="39">
        <v>0</v>
      </c>
      <c r="H34" s="39">
        <v>0</v>
      </c>
      <c r="I34" s="39">
        <v>2</v>
      </c>
      <c r="J34" s="39">
        <v>2</v>
      </c>
      <c r="K34" s="39">
        <v>0</v>
      </c>
      <c r="L34" s="39" t="s">
        <v>144</v>
      </c>
    </row>
    <row r="35" spans="1:12" s="37" customFormat="1" ht="30" x14ac:dyDescent="0.25">
      <c r="A35" s="42">
        <v>14</v>
      </c>
      <c r="B35" s="42" t="str">
        <f>VLOOKUP(Answer_Table[[#This Row],[Q'#]],QuestionLkup,2,FALSE)</f>
        <v>Will the current work change the usage of the master data to Use by Some?</v>
      </c>
      <c r="C35" s="39" t="s">
        <v>19</v>
      </c>
      <c r="D35" s="39" t="str">
        <f>CONCATENATE(Answer_Table[[#This Row],[Q'#]],"*",Answer_Table[[#This Row],[Answer]])</f>
        <v>14*No</v>
      </c>
      <c r="E35" s="31">
        <v>4000</v>
      </c>
      <c r="F35" s="41"/>
      <c r="G35" s="39">
        <v>0</v>
      </c>
      <c r="H35" s="39">
        <v>0</v>
      </c>
      <c r="I35" s="39">
        <v>0</v>
      </c>
      <c r="J35" s="39">
        <v>0</v>
      </c>
      <c r="K35" s="39">
        <v>0</v>
      </c>
      <c r="L35" s="39" t="s">
        <v>145</v>
      </c>
    </row>
    <row r="36" spans="1:12" ht="45" x14ac:dyDescent="0.25">
      <c r="A36" s="21">
        <v>30</v>
      </c>
      <c r="B36" s="21" t="str">
        <f>VLOOKUP(Answer_Table[[#This Row],[Q'#]],QuestionLkup,2,FALSE)</f>
        <v>Will the additional  master data  be used by one (UB1), some (UBSome), or all consumers (UBAll)?</v>
      </c>
      <c r="C36" s="25" t="s">
        <v>59</v>
      </c>
      <c r="D36" s="23" t="str">
        <f>CONCATENATE(Answer_Table[[#This Row],[Q'#]],"*",Answer_Table[[#This Row],[Answer]])</f>
        <v>30*Not Answered</v>
      </c>
      <c r="E36" s="31">
        <v>3000</v>
      </c>
      <c r="F36" s="20">
        <v>0</v>
      </c>
      <c r="G36" s="39">
        <v>0</v>
      </c>
      <c r="H36" s="39">
        <v>0</v>
      </c>
      <c r="I36" s="39">
        <v>0</v>
      </c>
      <c r="J36" s="39">
        <v>0</v>
      </c>
      <c r="K36" s="39">
        <v>0</v>
      </c>
      <c r="L36" s="39" t="s">
        <v>102</v>
      </c>
    </row>
    <row r="37" spans="1:12" s="37" customFormat="1" ht="45" x14ac:dyDescent="0.25">
      <c r="A37" s="42">
        <v>30</v>
      </c>
      <c r="B37" s="42" t="str">
        <f>VLOOKUP(Answer_Table[[#This Row],[Q'#]],QuestionLkup,2,FALSE)</f>
        <v>Will the additional  master data  be used by one (UB1), some (UBSome), or all consumers (UBAll)?</v>
      </c>
      <c r="C37" s="39" t="s">
        <v>18</v>
      </c>
      <c r="D37" s="39" t="str">
        <f>CONCATENATE(Answer_Table[[#This Row],[Q'#]],"*",Answer_Table[[#This Row],[Answer]])</f>
        <v>30*Unsure</v>
      </c>
      <c r="E37" s="31">
        <v>3000</v>
      </c>
      <c r="F37" s="41"/>
      <c r="G37" s="39">
        <v>0</v>
      </c>
      <c r="H37" s="39">
        <v>0</v>
      </c>
      <c r="I37" s="39">
        <v>0</v>
      </c>
      <c r="J37" s="39">
        <v>0</v>
      </c>
      <c r="K37" s="39">
        <v>0</v>
      </c>
      <c r="L37" s="39" t="s">
        <v>65</v>
      </c>
    </row>
    <row r="38" spans="1:12" s="37" customFormat="1" ht="45" x14ac:dyDescent="0.25">
      <c r="A38" s="42">
        <v>30</v>
      </c>
      <c r="B38" s="42" t="str">
        <f>VLOOKUP(Answer_Table[[#This Row],[Q'#]],QuestionLkup,2,FALSE)</f>
        <v>Will the additional  master data  be used by one (UB1), some (UBSome), or all consumers (UBAll)?</v>
      </c>
      <c r="C38" s="39" t="s">
        <v>77</v>
      </c>
      <c r="D38" s="39" t="str">
        <f>CONCATENATE(Answer_Table[[#This Row],[Q'#]],"*",Answer_Table[[#This Row],[Answer]])</f>
        <v>30*One (UB1)</v>
      </c>
      <c r="E38" s="31">
        <v>31</v>
      </c>
      <c r="F38" s="41"/>
      <c r="G38" s="39">
        <v>4</v>
      </c>
      <c r="H38" s="39">
        <v>2</v>
      </c>
      <c r="I38" s="39">
        <v>0</v>
      </c>
      <c r="J38" s="39">
        <v>0</v>
      </c>
      <c r="K38" s="39">
        <v>0</v>
      </c>
      <c r="L38" s="39" t="s">
        <v>155</v>
      </c>
    </row>
    <row r="39" spans="1:12" s="37" customFormat="1" ht="45" x14ac:dyDescent="0.25">
      <c r="A39" s="42">
        <v>30</v>
      </c>
      <c r="B39" s="42" t="str">
        <f>VLOOKUP(Answer_Table[[#This Row],[Q'#]],QuestionLkup,2,FALSE)</f>
        <v>Will the additional  master data  be used by one (UB1), some (UBSome), or all consumers (UBAll)?</v>
      </c>
      <c r="C39" s="39" t="s">
        <v>78</v>
      </c>
      <c r="D39" s="39" t="str">
        <f>CONCATENATE(Answer_Table[[#This Row],[Q'#]],"*",Answer_Table[[#This Row],[Answer]])</f>
        <v>30*Some (UBSome)</v>
      </c>
      <c r="E39" s="31">
        <v>31</v>
      </c>
      <c r="F39" s="41"/>
      <c r="G39" s="39">
        <v>0</v>
      </c>
      <c r="H39" s="39">
        <v>0</v>
      </c>
      <c r="I39" s="39">
        <v>0</v>
      </c>
      <c r="J39" s="39">
        <v>0</v>
      </c>
      <c r="K39" s="39">
        <v>0</v>
      </c>
      <c r="L39" s="39" t="s">
        <v>66</v>
      </c>
    </row>
    <row r="40" spans="1:12" s="37" customFormat="1" ht="45" x14ac:dyDescent="0.25">
      <c r="A40" s="42">
        <v>30</v>
      </c>
      <c r="B40" s="42" t="str">
        <f>VLOOKUP(Answer_Table[[#This Row],[Q'#]],QuestionLkup,2,FALSE)</f>
        <v>Will the additional  master data  be used by one (UB1), some (UBSome), or all consumers (UBAll)?</v>
      </c>
      <c r="C40" s="39" t="s">
        <v>79</v>
      </c>
      <c r="D40" s="39" t="str">
        <f>CONCATENATE(Answer_Table[[#This Row],[Q'#]],"*",Answer_Table[[#This Row],[Answer]])</f>
        <v>30*All (UBAll)</v>
      </c>
      <c r="E40" s="31">
        <v>31</v>
      </c>
      <c r="F40" s="41"/>
      <c r="G40" s="39">
        <v>0</v>
      </c>
      <c r="H40" s="39">
        <v>0</v>
      </c>
      <c r="I40" s="39">
        <v>2</v>
      </c>
      <c r="J40" s="39">
        <v>4</v>
      </c>
      <c r="K40" s="39">
        <v>0</v>
      </c>
      <c r="L40" s="39" t="s">
        <v>67</v>
      </c>
    </row>
    <row r="41" spans="1:12" ht="30" x14ac:dyDescent="0.25">
      <c r="A41" s="21">
        <v>31</v>
      </c>
      <c r="B41" s="21" t="str">
        <f>VLOOKUP(Answer_Table[[#This Row],[Q'#]],QuestionLkup,2,FALSE)</f>
        <v>Does SMF or an Application currently produce the data?</v>
      </c>
      <c r="C41" s="39" t="s">
        <v>59</v>
      </c>
      <c r="D41" s="23" t="str">
        <f>CONCATENATE(Answer_Table[[#This Row],[Q'#]],"*",Answer_Table[[#This Row],[Answer]])</f>
        <v>31*Not Answered</v>
      </c>
      <c r="E41" s="31">
        <v>3000</v>
      </c>
      <c r="F41" s="20">
        <v>0</v>
      </c>
      <c r="G41" s="25">
        <v>0</v>
      </c>
      <c r="H41" s="25">
        <v>0</v>
      </c>
      <c r="I41" s="25">
        <v>0</v>
      </c>
      <c r="J41" s="25">
        <v>0</v>
      </c>
      <c r="K41" s="25">
        <v>0</v>
      </c>
      <c r="L41" s="25" t="s">
        <v>147</v>
      </c>
    </row>
    <row r="42" spans="1:12" s="37" customFormat="1" ht="30" x14ac:dyDescent="0.25">
      <c r="A42" s="42">
        <v>31</v>
      </c>
      <c r="B42" s="42" t="str">
        <f>VLOOKUP(Answer_Table[[#This Row],[Q'#]],QuestionLkup,2,FALSE)</f>
        <v>Does SMF or an Application currently produce the data?</v>
      </c>
      <c r="C42" s="39" t="s">
        <v>18</v>
      </c>
      <c r="D42" s="39" t="str">
        <f>CONCATENATE(Answer_Table[[#This Row],[Q'#]],"*",Answer_Table[[#This Row],[Answer]])</f>
        <v>31*Unsure</v>
      </c>
      <c r="E42" s="31">
        <v>3000</v>
      </c>
      <c r="F42" s="41"/>
      <c r="G42" s="39">
        <v>0</v>
      </c>
      <c r="H42" s="39">
        <v>0</v>
      </c>
      <c r="I42" s="39">
        <v>0</v>
      </c>
      <c r="J42" s="39">
        <v>0</v>
      </c>
      <c r="K42" s="39">
        <v>0</v>
      </c>
      <c r="L42" s="39" t="s">
        <v>148</v>
      </c>
    </row>
    <row r="43" spans="1:12" s="37" customFormat="1" ht="30" x14ac:dyDescent="0.25">
      <c r="A43" s="42">
        <v>31</v>
      </c>
      <c r="B43" s="42" t="str">
        <f>VLOOKUP(Answer_Table[[#This Row],[Q'#]],QuestionLkup,2,FALSE)</f>
        <v>Does SMF or an Application currently produce the data?</v>
      </c>
      <c r="C43" s="39" t="s">
        <v>95</v>
      </c>
      <c r="D43" s="39" t="str">
        <f>CONCATENATE(Answer_Table[[#This Row],[Q'#]],"*",Answer_Table[[#This Row],[Answer]])</f>
        <v>31*SMF</v>
      </c>
      <c r="E43" s="31">
        <v>4000</v>
      </c>
      <c r="F43" s="41"/>
      <c r="G43" s="39">
        <v>0</v>
      </c>
      <c r="H43" s="39">
        <v>0</v>
      </c>
      <c r="I43" s="39">
        <v>0</v>
      </c>
      <c r="J43" s="39">
        <v>5</v>
      </c>
      <c r="K43" s="39">
        <v>0</v>
      </c>
      <c r="L43" s="39" t="s">
        <v>149</v>
      </c>
    </row>
    <row r="44" spans="1:12" s="37" customFormat="1" ht="30" x14ac:dyDescent="0.25">
      <c r="A44" s="42">
        <v>31</v>
      </c>
      <c r="B44" s="42" t="str">
        <f>VLOOKUP(Answer_Table[[#This Row],[Q'#]],QuestionLkup,2,FALSE)</f>
        <v>Does SMF or an Application currently produce the data?</v>
      </c>
      <c r="C44" s="39" t="s">
        <v>96</v>
      </c>
      <c r="D44" s="39" t="str">
        <f>CONCATENATE(Answer_Table[[#This Row],[Q'#]],"*",Answer_Table[[#This Row],[Answer]])</f>
        <v>31*Application</v>
      </c>
      <c r="E44" s="31">
        <v>32</v>
      </c>
      <c r="F44" s="41"/>
      <c r="G44" s="39">
        <v>0</v>
      </c>
      <c r="H44" s="39">
        <v>0</v>
      </c>
      <c r="I44" s="39">
        <v>0</v>
      </c>
      <c r="J44" s="39">
        <v>0</v>
      </c>
      <c r="K44" s="39">
        <v>0</v>
      </c>
      <c r="L44" s="39" t="s">
        <v>150</v>
      </c>
    </row>
    <row r="45" spans="1:12" ht="45" x14ac:dyDescent="0.25">
      <c r="A45" s="21">
        <v>32</v>
      </c>
      <c r="B45" s="42" t="str">
        <f>VLOOKUP(Answer_Table[[#This Row],[Q'#]],QuestionLkup,2,FALSE)</f>
        <v>Is the Producer application willing &amp; able to provide the high quality additional master data?</v>
      </c>
      <c r="C45" s="25" t="s">
        <v>59</v>
      </c>
      <c r="D45" s="23" t="str">
        <f>CONCATENATE(Answer_Table[[#This Row],[Q'#]],"*",Answer_Table[[#This Row],[Answer]])</f>
        <v>32*Not Answered</v>
      </c>
      <c r="E45" s="31">
        <v>3000</v>
      </c>
      <c r="F45" s="20">
        <v>0</v>
      </c>
      <c r="G45" s="39">
        <v>0</v>
      </c>
      <c r="H45" s="39">
        <v>0</v>
      </c>
      <c r="I45" s="39">
        <v>0</v>
      </c>
      <c r="J45" s="39">
        <v>0</v>
      </c>
      <c r="K45" s="39">
        <v>0</v>
      </c>
      <c r="L45" s="25" t="s">
        <v>63</v>
      </c>
    </row>
    <row r="46" spans="1:12" s="37" customFormat="1" ht="45" x14ac:dyDescent="0.25">
      <c r="A46" s="42">
        <v>32</v>
      </c>
      <c r="B46" s="42" t="str">
        <f>VLOOKUP(Answer_Table[[#This Row],[Q'#]],QuestionLkup,2,FALSE)</f>
        <v>Is the Producer application willing &amp; able to provide the high quality additional master data?</v>
      </c>
      <c r="C46" s="39" t="s">
        <v>18</v>
      </c>
      <c r="D46" s="39" t="str">
        <f>CONCATENATE(Answer_Table[[#This Row],[Q'#]],"*",Answer_Table[[#This Row],[Answer]])</f>
        <v>32*Unsure</v>
      </c>
      <c r="E46" s="31">
        <v>3000</v>
      </c>
      <c r="F46" s="41"/>
      <c r="G46" s="39">
        <v>0</v>
      </c>
      <c r="H46" s="39">
        <v>0</v>
      </c>
      <c r="I46" s="39">
        <v>0</v>
      </c>
      <c r="J46" s="39">
        <v>0</v>
      </c>
      <c r="K46" s="39">
        <v>0</v>
      </c>
      <c r="L46" s="39" t="s">
        <v>60</v>
      </c>
    </row>
    <row r="47" spans="1:12" s="37" customFormat="1" ht="45" x14ac:dyDescent="0.25">
      <c r="A47" s="42">
        <v>32</v>
      </c>
      <c r="B47" s="42" t="str">
        <f>VLOOKUP(Answer_Table[[#This Row],[Q'#]],QuestionLkup,2,FALSE)</f>
        <v>Is the Producer application willing &amp; able to provide the high quality additional master data?</v>
      </c>
      <c r="C47" s="39" t="s">
        <v>17</v>
      </c>
      <c r="D47" s="39" t="str">
        <f>CONCATENATE(Answer_Table[[#This Row],[Q'#]],"*",Answer_Table[[#This Row],[Answer]])</f>
        <v>32*Yes</v>
      </c>
      <c r="E47" s="31">
        <v>4000</v>
      </c>
      <c r="F47" s="41"/>
      <c r="G47" s="39">
        <v>0</v>
      </c>
      <c r="H47" s="39">
        <v>5</v>
      </c>
      <c r="I47" s="39">
        <v>5</v>
      </c>
      <c r="J47" s="39">
        <v>0</v>
      </c>
      <c r="K47" s="39">
        <v>0</v>
      </c>
      <c r="L47" s="39" t="s">
        <v>61</v>
      </c>
    </row>
    <row r="48" spans="1:12" s="37" customFormat="1" ht="45" x14ac:dyDescent="0.25">
      <c r="A48" s="42">
        <v>32</v>
      </c>
      <c r="B48" s="42" t="str">
        <f>VLOOKUP(Answer_Table[[#This Row],[Q'#]],QuestionLkup,2,FALSE)</f>
        <v>Is the Producer application willing &amp; able to provide the high quality additional master data?</v>
      </c>
      <c r="C48" s="39" t="s">
        <v>19</v>
      </c>
      <c r="D48" s="39" t="str">
        <f>CONCATENATE(Answer_Table[[#This Row],[Q'#]],"*",Answer_Table[[#This Row],[Answer]])</f>
        <v>32*No</v>
      </c>
      <c r="E48" s="31">
        <v>4000</v>
      </c>
      <c r="F48" s="41"/>
      <c r="G48" s="39">
        <v>0</v>
      </c>
      <c r="H48" s="39">
        <v>0</v>
      </c>
      <c r="I48" s="39">
        <v>0</v>
      </c>
      <c r="J48" s="39">
        <v>2</v>
      </c>
      <c r="K48" s="39">
        <v>0</v>
      </c>
      <c r="L48" s="39" t="s">
        <v>62</v>
      </c>
    </row>
    <row r="49" spans="1:12" ht="45" x14ac:dyDescent="0.25">
      <c r="A49" s="21">
        <v>60</v>
      </c>
      <c r="B49" s="21" t="str">
        <f>VLOOKUP(Answer_Table[[#This Row],[Q'#]],QuestionLkup,2,FALSE)</f>
        <v>Will the produced master data  be used by one (UB1), some (UBSome), or all consumers (UBAll)?</v>
      </c>
      <c r="C49" s="39" t="s">
        <v>59</v>
      </c>
      <c r="D49" s="23" t="str">
        <f>CONCATENATE(Answer_Table[[#This Row],[Q'#]],"*",Answer_Table[[#This Row],[Answer]])</f>
        <v>60*Not Answered</v>
      </c>
      <c r="E49" s="31">
        <v>3000</v>
      </c>
      <c r="F49" s="20">
        <v>0</v>
      </c>
      <c r="G49" s="39">
        <v>0</v>
      </c>
      <c r="H49" s="39">
        <v>0</v>
      </c>
      <c r="I49" s="39">
        <v>0</v>
      </c>
      <c r="J49" s="39">
        <v>0</v>
      </c>
      <c r="K49" s="39">
        <v>0</v>
      </c>
      <c r="L49" s="39" t="s">
        <v>102</v>
      </c>
    </row>
    <row r="50" spans="1:12" s="37" customFormat="1" ht="45" x14ac:dyDescent="0.25">
      <c r="A50" s="42">
        <v>60</v>
      </c>
      <c r="B50" s="42" t="str">
        <f>VLOOKUP(Answer_Table[[#This Row],[Q'#]],QuestionLkup,2,FALSE)</f>
        <v>Will the produced master data  be used by one (UB1), some (UBSome), or all consumers (UBAll)?</v>
      </c>
      <c r="C50" s="39" t="s">
        <v>18</v>
      </c>
      <c r="D50" s="39" t="str">
        <f>CONCATENATE(Answer_Table[[#This Row],[Q'#]],"*",Answer_Table[[#This Row],[Answer]])</f>
        <v>60*Unsure</v>
      </c>
      <c r="E50" s="31">
        <v>3000</v>
      </c>
      <c r="F50" s="41"/>
      <c r="G50" s="39">
        <v>0</v>
      </c>
      <c r="H50" s="39">
        <v>0</v>
      </c>
      <c r="I50" s="39">
        <v>0</v>
      </c>
      <c r="J50" s="39">
        <v>0</v>
      </c>
      <c r="K50" s="39">
        <v>0</v>
      </c>
      <c r="L50" s="39" t="s">
        <v>65</v>
      </c>
    </row>
    <row r="51" spans="1:12" s="37" customFormat="1" ht="45" x14ac:dyDescent="0.25">
      <c r="A51" s="42">
        <v>60</v>
      </c>
      <c r="B51" s="42" t="str">
        <f>VLOOKUP(Answer_Table[[#This Row],[Q'#]],QuestionLkup,2,FALSE)</f>
        <v>Will the produced master data  be used by one (UB1), some (UBSome), or all consumers (UBAll)?</v>
      </c>
      <c r="C51" s="39" t="s">
        <v>77</v>
      </c>
      <c r="D51" s="39" t="str">
        <f>CONCATENATE(Answer_Table[[#This Row],[Q'#]],"*",Answer_Table[[#This Row],[Answer]])</f>
        <v>60*One (UB1)</v>
      </c>
      <c r="E51" s="31">
        <v>65</v>
      </c>
      <c r="F51" s="41"/>
      <c r="G51" s="39">
        <v>4</v>
      </c>
      <c r="H51" s="39">
        <v>4</v>
      </c>
      <c r="I51" s="39">
        <v>2</v>
      </c>
      <c r="J51" s="39">
        <v>2</v>
      </c>
      <c r="K51" s="39">
        <v>0</v>
      </c>
      <c r="L51" s="39" t="s">
        <v>64</v>
      </c>
    </row>
    <row r="52" spans="1:12" s="37" customFormat="1" ht="45" x14ac:dyDescent="0.25">
      <c r="A52" s="42">
        <v>60</v>
      </c>
      <c r="B52" s="42" t="str">
        <f>VLOOKUP(Answer_Table[[#This Row],[Q'#]],QuestionLkup,2,FALSE)</f>
        <v>Will the produced master data  be used by one (UB1), some (UBSome), or all consumers (UBAll)?</v>
      </c>
      <c r="C52" s="39" t="s">
        <v>78</v>
      </c>
      <c r="D52" s="39" t="str">
        <f>CONCATENATE(Answer_Table[[#This Row],[Q'#]],"*",Answer_Table[[#This Row],[Answer]])</f>
        <v>60*Some (UBSome)</v>
      </c>
      <c r="E52" s="31">
        <v>65</v>
      </c>
      <c r="F52" s="41"/>
      <c r="G52" s="39">
        <v>0</v>
      </c>
      <c r="H52" s="39">
        <v>2</v>
      </c>
      <c r="I52" s="39">
        <v>4</v>
      </c>
      <c r="J52" s="39">
        <v>4</v>
      </c>
      <c r="K52" s="39">
        <v>0</v>
      </c>
      <c r="L52" s="39" t="s">
        <v>66</v>
      </c>
    </row>
    <row r="53" spans="1:12" s="37" customFormat="1" ht="45" x14ac:dyDescent="0.25">
      <c r="A53" s="42">
        <v>60</v>
      </c>
      <c r="B53" s="42" t="str">
        <f>VLOOKUP(Answer_Table[[#This Row],[Q'#]],QuestionLkup,2,FALSE)</f>
        <v>Will the produced master data  be used by one (UB1), some (UBSome), or all consumers (UBAll)?</v>
      </c>
      <c r="C53" s="39" t="s">
        <v>79</v>
      </c>
      <c r="D53" s="39" t="str">
        <f>CONCATENATE(Answer_Table[[#This Row],[Q'#]],"*",Answer_Table[[#This Row],[Answer]])</f>
        <v>60*All (UBAll)</v>
      </c>
      <c r="E53" s="31">
        <v>65</v>
      </c>
      <c r="F53" s="41"/>
      <c r="G53" s="39">
        <v>0</v>
      </c>
      <c r="H53" s="39">
        <v>2</v>
      </c>
      <c r="I53" s="39">
        <v>2</v>
      </c>
      <c r="J53" s="39">
        <v>4</v>
      </c>
      <c r="K53" s="39">
        <v>0</v>
      </c>
      <c r="L53" s="39" t="s">
        <v>67</v>
      </c>
    </row>
    <row r="54" spans="1:12" ht="45" x14ac:dyDescent="0.25">
      <c r="A54" s="21">
        <v>65</v>
      </c>
      <c r="B54" s="21" t="str">
        <f>VLOOKUP(Answer_Table[[#This Row],[Q'#]],QuestionLkup,2,FALSE)</f>
        <v>Does a vendor offer an effective prebuilt interface which could distribute data from a producer to a consumer?</v>
      </c>
      <c r="C54" s="25" t="s">
        <v>59</v>
      </c>
      <c r="D54" s="23" t="str">
        <f>CONCATENATE(Answer_Table[[#This Row],[Q'#]],"*",Answer_Table[[#This Row],[Answer]])</f>
        <v>65*Not Answered</v>
      </c>
      <c r="E54" s="31">
        <v>3000</v>
      </c>
      <c r="F54" s="20">
        <v>0</v>
      </c>
      <c r="G54" s="25">
        <v>0</v>
      </c>
      <c r="H54" s="25">
        <v>0</v>
      </c>
      <c r="I54" s="25">
        <v>0</v>
      </c>
      <c r="J54" s="25">
        <v>0</v>
      </c>
      <c r="K54" s="25">
        <v>0</v>
      </c>
      <c r="L54" s="25" t="s">
        <v>70</v>
      </c>
    </row>
    <row r="55" spans="1:12" s="37" customFormat="1" ht="45" x14ac:dyDescent="0.25">
      <c r="A55" s="42">
        <v>65</v>
      </c>
      <c r="B55" s="42" t="str">
        <f>VLOOKUP(Answer_Table[[#This Row],[Q'#]],QuestionLkup,2,FALSE)</f>
        <v>Does a vendor offer an effective prebuilt interface which could distribute data from a producer to a consumer?</v>
      </c>
      <c r="C55" s="39" t="s">
        <v>18</v>
      </c>
      <c r="D55" s="39" t="str">
        <f>CONCATENATE(Answer_Table[[#This Row],[Q'#]],"*",Answer_Table[[#This Row],[Answer]])</f>
        <v>65*Unsure</v>
      </c>
      <c r="E55" s="31">
        <v>3000</v>
      </c>
      <c r="F55" s="41"/>
      <c r="G55" s="39">
        <v>0</v>
      </c>
      <c r="H55" s="39">
        <v>0</v>
      </c>
      <c r="I55" s="39">
        <v>0</v>
      </c>
      <c r="J55" s="39">
        <v>0</v>
      </c>
      <c r="K55" s="39">
        <v>0</v>
      </c>
      <c r="L55" s="39" t="s">
        <v>71</v>
      </c>
    </row>
    <row r="56" spans="1:12" s="37" customFormat="1" ht="45" x14ac:dyDescent="0.25">
      <c r="A56" s="42">
        <v>65</v>
      </c>
      <c r="B56" s="42" t="str">
        <f>VLOOKUP(Answer_Table[[#This Row],[Q'#]],QuestionLkup,2,FALSE)</f>
        <v>Does a vendor offer an effective prebuilt interface which could distribute data from a producer to a consumer?</v>
      </c>
      <c r="C56" s="39" t="s">
        <v>17</v>
      </c>
      <c r="D56" s="39" t="str">
        <f>CONCATENATE(Answer_Table[[#This Row],[Q'#]],"*",Answer_Table[[#This Row],[Answer]])</f>
        <v>65*Yes</v>
      </c>
      <c r="E56" s="31">
        <v>66</v>
      </c>
      <c r="F56" s="41"/>
      <c r="G56" s="39">
        <v>0</v>
      </c>
      <c r="H56" s="39">
        <v>4</v>
      </c>
      <c r="I56" s="39">
        <v>0</v>
      </c>
      <c r="J56" s="39">
        <v>0</v>
      </c>
      <c r="K56" s="39">
        <v>4</v>
      </c>
      <c r="L56" s="39" t="s">
        <v>68</v>
      </c>
    </row>
    <row r="57" spans="1:12" s="37" customFormat="1" ht="45" x14ac:dyDescent="0.25">
      <c r="A57" s="42">
        <v>65</v>
      </c>
      <c r="B57" s="42" t="str">
        <f>VLOOKUP(Answer_Table[[#This Row],[Q'#]],QuestionLkup,2,FALSE)</f>
        <v>Does a vendor offer an effective prebuilt interface which could distribute data from a producer to a consumer?</v>
      </c>
      <c r="C57" s="39" t="s">
        <v>19</v>
      </c>
      <c r="D57" s="39" t="str">
        <f>CONCATENATE(Answer_Table[[#This Row],[Q'#]],"*",Answer_Table[[#This Row],[Answer]])</f>
        <v>65*No</v>
      </c>
      <c r="E57" s="31">
        <v>66</v>
      </c>
      <c r="F57" s="41"/>
      <c r="G57" s="39">
        <v>0</v>
      </c>
      <c r="H57" s="39">
        <v>0</v>
      </c>
      <c r="I57" s="39">
        <v>0</v>
      </c>
      <c r="J57" s="39">
        <v>0</v>
      </c>
      <c r="K57" s="39">
        <v>0</v>
      </c>
      <c r="L57" s="39" t="s">
        <v>69</v>
      </c>
    </row>
    <row r="58" spans="1:12" ht="30" x14ac:dyDescent="0.25">
      <c r="A58" s="21">
        <v>66</v>
      </c>
      <c r="B58" s="21" t="str">
        <f>VLOOKUP(Answer_Table[[#This Row],[Q'#]],QuestionLkup,2,FALSE)</f>
        <v>Is real-time consumption of changes to the master data required?</v>
      </c>
      <c r="C58" s="25" t="s">
        <v>59</v>
      </c>
      <c r="D58" s="23" t="str">
        <f>CONCATENATE(Answer_Table[[#This Row],[Q'#]],"*",Answer_Table[[#This Row],[Answer]])</f>
        <v>66*Not Answered</v>
      </c>
      <c r="E58" s="31">
        <v>3000</v>
      </c>
      <c r="F58" s="20">
        <v>0</v>
      </c>
      <c r="G58" s="25">
        <v>0</v>
      </c>
      <c r="H58" s="25">
        <v>0</v>
      </c>
      <c r="I58" s="25">
        <v>0</v>
      </c>
      <c r="J58" s="25">
        <v>0</v>
      </c>
      <c r="K58" s="25">
        <v>0</v>
      </c>
      <c r="L58" s="25" t="s">
        <v>74</v>
      </c>
    </row>
    <row r="59" spans="1:12" s="37" customFormat="1" ht="30" x14ac:dyDescent="0.25">
      <c r="A59" s="42">
        <v>66</v>
      </c>
      <c r="B59" s="42" t="str">
        <f>VLOOKUP(Answer_Table[[#This Row],[Q'#]],QuestionLkup,2,FALSE)</f>
        <v>Is real-time consumption of changes to the master data required?</v>
      </c>
      <c r="C59" s="39" t="s">
        <v>18</v>
      </c>
      <c r="D59" s="39" t="str">
        <f>CONCATENATE(Answer_Table[[#This Row],[Q'#]],"*",Answer_Table[[#This Row],[Answer]])</f>
        <v>66*Unsure</v>
      </c>
      <c r="E59" s="31">
        <v>3000</v>
      </c>
      <c r="F59" s="41"/>
      <c r="G59" s="39">
        <v>0</v>
      </c>
      <c r="H59" s="39">
        <v>0</v>
      </c>
      <c r="I59" s="39">
        <v>0</v>
      </c>
      <c r="J59" s="39">
        <v>0</v>
      </c>
      <c r="K59" s="39">
        <v>0</v>
      </c>
      <c r="L59" s="39" t="s">
        <v>75</v>
      </c>
    </row>
    <row r="60" spans="1:12" s="37" customFormat="1" ht="30" x14ac:dyDescent="0.25">
      <c r="A60" s="42">
        <v>66</v>
      </c>
      <c r="B60" s="42" t="str">
        <f>VLOOKUP(Answer_Table[[#This Row],[Q'#]],QuestionLkup,2,FALSE)</f>
        <v>Is real-time consumption of changes to the master data required?</v>
      </c>
      <c r="C60" s="39" t="s">
        <v>17</v>
      </c>
      <c r="D60" s="39" t="str">
        <f>CONCATENATE(Answer_Table[[#This Row],[Q'#]],"*",Answer_Table[[#This Row],[Answer]])</f>
        <v>66*Yes</v>
      </c>
      <c r="E60" s="31">
        <v>4000</v>
      </c>
      <c r="F60" s="41"/>
      <c r="G60" s="39">
        <v>0</v>
      </c>
      <c r="H60" s="39">
        <v>0</v>
      </c>
      <c r="I60" s="39">
        <v>0</v>
      </c>
      <c r="J60" s="39">
        <v>0</v>
      </c>
      <c r="K60" s="39">
        <v>0</v>
      </c>
      <c r="L60" s="39" t="s">
        <v>72</v>
      </c>
    </row>
    <row r="61" spans="1:12" s="37" customFormat="1" ht="30" x14ac:dyDescent="0.25">
      <c r="A61" s="42">
        <v>66</v>
      </c>
      <c r="B61" s="42" t="str">
        <f>VLOOKUP(Answer_Table[[#This Row],[Q'#]],QuestionLkup,2,FALSE)</f>
        <v>Is real-time consumption of changes to the master data required?</v>
      </c>
      <c r="C61" s="39" t="s">
        <v>19</v>
      </c>
      <c r="D61" s="39" t="str">
        <f>CONCATENATE(Answer_Table[[#This Row],[Q'#]],"*",Answer_Table[[#This Row],[Answer]])</f>
        <v>66*No</v>
      </c>
      <c r="E61" s="31">
        <v>4000</v>
      </c>
      <c r="F61" s="41"/>
      <c r="G61" s="39">
        <v>0</v>
      </c>
      <c r="H61" s="39">
        <v>0</v>
      </c>
      <c r="I61" s="39">
        <v>0</v>
      </c>
      <c r="J61" s="39">
        <v>0</v>
      </c>
      <c r="K61" s="39">
        <v>0</v>
      </c>
      <c r="L61" s="39" t="s">
        <v>73</v>
      </c>
    </row>
    <row r="62" spans="1:12" x14ac:dyDescent="0.25">
      <c r="A62" s="29">
        <v>1001</v>
      </c>
      <c r="B62" s="29" t="str">
        <f>VLOOKUP(Answer_Table[[#This Row],[Q'#]],QuestionLkup,2,FALSE)</f>
        <v>*Pop_16Ans=Both</v>
      </c>
      <c r="C62" s="29" t="s">
        <v>59</v>
      </c>
      <c r="D62" s="29" t="str">
        <f>CONCATENATE(Answer_Table[[#This Row],[Q'#]],"*",Answer_Table[[#This Row],[Answer]])</f>
        <v>1001*Not Answered</v>
      </c>
      <c r="E62" s="29">
        <v>4000</v>
      </c>
      <c r="F62" s="29"/>
      <c r="G62" s="29">
        <v>0</v>
      </c>
      <c r="H62" s="29">
        <v>0</v>
      </c>
      <c r="I62" s="29">
        <v>0</v>
      </c>
      <c r="J62" s="29">
        <v>0</v>
      </c>
      <c r="K62" s="29">
        <v>0</v>
      </c>
      <c r="L62" s="29" t="s">
        <v>105</v>
      </c>
    </row>
    <row r="63" spans="1:12" x14ac:dyDescent="0.25">
      <c r="A63" s="30">
        <v>2000</v>
      </c>
      <c r="B63" s="29" t="str">
        <f>VLOOKUP(Answer_Table[[#This Row],[Q'#]],QuestionLkup,2,FALSE)</f>
        <v>Dead End</v>
      </c>
      <c r="C63" s="29" t="s">
        <v>59</v>
      </c>
      <c r="D63" s="29" t="str">
        <f>CONCATENATE(Answer_Table[[#This Row],[Q'#]],"*",Answer_Table[[#This Row],[Answer]])</f>
        <v>2000*Not Answered</v>
      </c>
      <c r="E63" s="29">
        <v>2000</v>
      </c>
      <c r="F63" s="29"/>
      <c r="G63" s="39">
        <v>0</v>
      </c>
      <c r="H63" s="39">
        <v>0</v>
      </c>
      <c r="I63" s="39">
        <v>0</v>
      </c>
      <c r="J63" s="39">
        <v>0</v>
      </c>
      <c r="K63" s="39">
        <v>0</v>
      </c>
      <c r="L63" s="29" t="s">
        <v>97</v>
      </c>
    </row>
    <row r="64" spans="1:12" x14ac:dyDescent="0.25">
      <c r="A64" s="29">
        <v>3000</v>
      </c>
      <c r="B64" s="29" t="str">
        <f>VLOOKUP(Answer_Table[[#This Row],[Q'#]],QuestionLkup,2,FALSE)</f>
        <v>No Question</v>
      </c>
      <c r="C64" s="29" t="s">
        <v>15</v>
      </c>
      <c r="D64" s="26" t="str">
        <f>CONCATENATE(Answer_Table[[#This Row],[Q'#]],"*",Answer_Table[[#This Row],[Answer]])</f>
        <v>3000*No Question</v>
      </c>
      <c r="E64" s="29">
        <v>3000</v>
      </c>
      <c r="F64" s="26"/>
      <c r="G64" s="25">
        <v>0</v>
      </c>
      <c r="H64" s="25">
        <v>0</v>
      </c>
      <c r="I64" s="25">
        <v>0</v>
      </c>
      <c r="J64" s="25">
        <v>0</v>
      </c>
      <c r="K64" s="25">
        <v>0</v>
      </c>
      <c r="L64" s="39"/>
    </row>
    <row r="65" spans="1:12" x14ac:dyDescent="0.25">
      <c r="A65" s="29">
        <v>4000</v>
      </c>
      <c r="B65" s="29" t="str">
        <f>VLOOKUP(Answer_Table[[#This Row],[Q'#]],QuestionLkup,2,FALSE)</f>
        <v>Done</v>
      </c>
      <c r="C65" s="29" t="s">
        <v>59</v>
      </c>
      <c r="D65" s="29" t="str">
        <f>CONCATENATE(Answer_Table[[#This Row],[Q'#]],"*",Answer_Table[[#This Row],[Answer]])</f>
        <v>4000*Not Answered</v>
      </c>
      <c r="E65" s="29">
        <v>4000</v>
      </c>
      <c r="F65" s="29"/>
      <c r="G65" s="25">
        <v>0</v>
      </c>
      <c r="H65" s="25">
        <v>0</v>
      </c>
      <c r="I65" s="25">
        <v>0</v>
      </c>
      <c r="J65" s="25">
        <v>0</v>
      </c>
      <c r="K65" s="25">
        <v>0</v>
      </c>
      <c r="L65" s="29" t="s">
        <v>154</v>
      </c>
    </row>
  </sheetData>
  <hyperlinks>
    <hyperlink ref="I1" r:id="rId1"/>
    <hyperlink ref="G1" r:id="rId2"/>
    <hyperlink ref="H1" r:id="rId3"/>
    <hyperlink ref="K1" r:id="rId4" display="COTS"/>
    <hyperlink ref="J1" r:id="rId5"/>
  </hyperlinks>
  <pageMargins left="0.7" right="0.7" top="0.75" bottom="0.75" header="0.3" footer="0.3"/>
  <pageSetup paperSize="17" scale="56" fitToHeight="0" orientation="portrait" r:id="rId6"/>
  <legacyDrawing r:id="rId7"/>
  <tableParts count="1">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7" tint="0.39997558519241921"/>
  </sheetPr>
  <dimension ref="A1:E14"/>
  <sheetViews>
    <sheetView showGridLines="0" workbookViewId="0">
      <selection activeCell="C2" sqref="C2"/>
    </sheetView>
  </sheetViews>
  <sheetFormatPr defaultRowHeight="15" x14ac:dyDescent="0.25"/>
  <cols>
    <col min="1" max="1" width="13.85546875" customWidth="1"/>
  </cols>
  <sheetData>
    <row r="1" spans="1:5" x14ac:dyDescent="0.25">
      <c r="A1" s="15" t="s">
        <v>2</v>
      </c>
      <c r="B1" s="16" t="s">
        <v>12</v>
      </c>
      <c r="C1" s="15" t="s">
        <v>0</v>
      </c>
      <c r="D1" s="15" t="s">
        <v>1</v>
      </c>
      <c r="E1" s="15" t="s">
        <v>31</v>
      </c>
    </row>
    <row r="2" spans="1:5" x14ac:dyDescent="0.25">
      <c r="A2">
        <f>VLOOKUP(Card!D3,AnswerReverseLkup,2,FALSE)</f>
        <v>0</v>
      </c>
      <c r="B2">
        <f>VLOOKUP(Card!E3,AnswerReverseLkup,2,FALSE)</f>
        <v>0</v>
      </c>
      <c r="C2">
        <f>VLOOKUP(Card!F3,AnswerReverseLkup,2,FALSE)</f>
        <v>2</v>
      </c>
      <c r="D2">
        <f>VLOOKUP(Card!G3,AnswerReverseLkup,2,FALSE)</f>
        <v>2</v>
      </c>
      <c r="E2">
        <f>VLOOKUP(Card!H3,AnswerReverseLkup,2,FALSE)</f>
        <v>0</v>
      </c>
    </row>
    <row r="3" spans="1:5" x14ac:dyDescent="0.25">
      <c r="A3">
        <f>VLOOKUP(Card!D4,AnswerReverseLkup,2,FALSE)</f>
        <v>0</v>
      </c>
      <c r="B3">
        <f>VLOOKUP(Card!E4,AnswerReverseLkup,2,FALSE)</f>
        <v>0</v>
      </c>
      <c r="C3">
        <f>VLOOKUP(Card!F4,AnswerReverseLkup,2,FALSE)</f>
        <v>0</v>
      </c>
      <c r="D3">
        <f>VLOOKUP(Card!G4,AnswerReverseLkup,2,FALSE)</f>
        <v>0</v>
      </c>
      <c r="E3">
        <f>VLOOKUP(Card!H4,AnswerReverseLkup,2,FALSE)</f>
        <v>0</v>
      </c>
    </row>
    <row r="4" spans="1:5" x14ac:dyDescent="0.25">
      <c r="A4" t="e">
        <f>VLOOKUP(Card!D5,AnswerReverseLkup,2,FALSE)</f>
        <v>#N/A</v>
      </c>
      <c r="B4" t="e">
        <f>VLOOKUP(Card!E5,AnswerReverseLkup,2,FALSE)</f>
        <v>#N/A</v>
      </c>
      <c r="C4" t="e">
        <f>VLOOKUP(Card!F5,AnswerReverseLkup,2,FALSE)</f>
        <v>#N/A</v>
      </c>
      <c r="D4" t="e">
        <f>VLOOKUP(Card!G5,AnswerReverseLkup,2,FALSE)</f>
        <v>#N/A</v>
      </c>
      <c r="E4" t="e">
        <f>VLOOKUP(Card!H5,AnswerReverseLkup,2,FALSE)</f>
        <v>#N/A</v>
      </c>
    </row>
    <row r="5" spans="1:5" x14ac:dyDescent="0.25">
      <c r="A5" t="e">
        <f>VLOOKUP(Card!D6,AnswerReverseLkup,2,FALSE)</f>
        <v>#N/A</v>
      </c>
      <c r="B5" t="e">
        <f>VLOOKUP(Card!E6,AnswerReverseLkup,2,FALSE)</f>
        <v>#N/A</v>
      </c>
      <c r="C5" t="e">
        <f>VLOOKUP(Card!F6,AnswerReverseLkup,2,FALSE)</f>
        <v>#N/A</v>
      </c>
      <c r="D5" t="e">
        <f>VLOOKUP(Card!G6,AnswerReverseLkup,2,FALSE)</f>
        <v>#N/A</v>
      </c>
      <c r="E5" t="e">
        <f>VLOOKUP(Card!H6,AnswerReverseLkup,2,FALSE)</f>
        <v>#N/A</v>
      </c>
    </row>
    <row r="6" spans="1:5" x14ac:dyDescent="0.25">
      <c r="A6" t="e">
        <f>VLOOKUP(Card!D7,AnswerReverseLkup,2,FALSE)</f>
        <v>#N/A</v>
      </c>
      <c r="B6" t="e">
        <f>VLOOKUP(Card!E7,AnswerReverseLkup,2,FALSE)</f>
        <v>#N/A</v>
      </c>
      <c r="C6" t="e">
        <f>VLOOKUP(Card!F7,AnswerReverseLkup,2,FALSE)</f>
        <v>#N/A</v>
      </c>
      <c r="D6" t="e">
        <f>VLOOKUP(Card!G7,AnswerReverseLkup,2,FALSE)</f>
        <v>#N/A</v>
      </c>
      <c r="E6" t="e">
        <f>VLOOKUP(Card!H7,AnswerReverseLkup,2,FALSE)</f>
        <v>#N/A</v>
      </c>
    </row>
    <row r="7" spans="1:5" x14ac:dyDescent="0.25">
      <c r="A7" t="e">
        <f>VLOOKUP(Card!D8,AnswerReverseLkup,2,FALSE)</f>
        <v>#N/A</v>
      </c>
      <c r="B7" t="e">
        <f>VLOOKUP(Card!E8,AnswerReverseLkup,2,FALSE)</f>
        <v>#N/A</v>
      </c>
      <c r="C7" t="e">
        <f>VLOOKUP(Card!F8,AnswerReverseLkup,2,FALSE)</f>
        <v>#N/A</v>
      </c>
      <c r="D7" t="e">
        <f>VLOOKUP(Card!G8,AnswerReverseLkup,2,FALSE)</f>
        <v>#N/A</v>
      </c>
      <c r="E7" t="e">
        <f>VLOOKUP(Card!H8,AnswerReverseLkup,2,FALSE)</f>
        <v>#N/A</v>
      </c>
    </row>
    <row r="8" spans="1:5" x14ac:dyDescent="0.25">
      <c r="A8" t="e">
        <f>VLOOKUP(Card!D9,AnswerReverseLkup,2,FALSE)</f>
        <v>#N/A</v>
      </c>
      <c r="B8" t="e">
        <f>VLOOKUP(Card!E9,AnswerReverseLkup,2,FALSE)</f>
        <v>#N/A</v>
      </c>
      <c r="C8" t="e">
        <f>VLOOKUP(Card!F9,AnswerReverseLkup,2,FALSE)</f>
        <v>#N/A</v>
      </c>
      <c r="D8" t="e">
        <f>VLOOKUP(Card!G9,AnswerReverseLkup,2,FALSE)</f>
        <v>#N/A</v>
      </c>
      <c r="E8" t="e">
        <f>VLOOKUP(Card!H9,AnswerReverseLkup,2,FALSE)</f>
        <v>#N/A</v>
      </c>
    </row>
    <row r="9" spans="1:5" x14ac:dyDescent="0.25">
      <c r="A9" t="e">
        <f>VLOOKUP(Card!D10,AnswerReverseLkup,2,FALSE)</f>
        <v>#N/A</v>
      </c>
      <c r="B9" t="e">
        <f>VLOOKUP(Card!E10,AnswerReverseLkup,2,FALSE)</f>
        <v>#N/A</v>
      </c>
      <c r="C9" t="e">
        <f>VLOOKUP(Card!F10,AnswerReverseLkup,2,FALSE)</f>
        <v>#N/A</v>
      </c>
      <c r="D9" t="e">
        <f>VLOOKUP(Card!G10,AnswerReverseLkup,2,FALSE)</f>
        <v>#N/A</v>
      </c>
      <c r="E9" t="e">
        <f>VLOOKUP(Card!H10,AnswerReverseLkup,2,FALSE)</f>
        <v>#N/A</v>
      </c>
    </row>
    <row r="10" spans="1:5" x14ac:dyDescent="0.25">
      <c r="A10" t="e">
        <f>VLOOKUP(Card!D11,AnswerReverseLkup,2,FALSE)</f>
        <v>#N/A</v>
      </c>
      <c r="B10" t="e">
        <f>VLOOKUP(Card!E11,AnswerReverseLkup,2,FALSE)</f>
        <v>#N/A</v>
      </c>
      <c r="C10" t="e">
        <f>VLOOKUP(Card!F11,AnswerReverseLkup,2,FALSE)</f>
        <v>#N/A</v>
      </c>
      <c r="D10" t="e">
        <f>VLOOKUP(Card!G11,AnswerReverseLkup,2,FALSE)</f>
        <v>#N/A</v>
      </c>
      <c r="E10" t="e">
        <f>VLOOKUP(Card!H11,AnswerReverseLkup,2,FALSE)</f>
        <v>#N/A</v>
      </c>
    </row>
    <row r="11" spans="1:5" x14ac:dyDescent="0.25">
      <c r="A11" t="e">
        <f>VLOOKUP(Card!D12,AnswerReverseLkup,2,FALSE)</f>
        <v>#N/A</v>
      </c>
      <c r="B11" t="e">
        <f>VLOOKUP(Card!E12,AnswerReverseLkup,2,FALSE)</f>
        <v>#N/A</v>
      </c>
      <c r="C11" t="e">
        <f>VLOOKUP(Card!F12,AnswerReverseLkup,2,FALSE)</f>
        <v>#N/A</v>
      </c>
      <c r="D11" t="e">
        <f>VLOOKUP(Card!G12,AnswerReverseLkup,2,FALSE)</f>
        <v>#N/A</v>
      </c>
      <c r="E11" t="e">
        <f>VLOOKUP(Card!H12,AnswerReverseLkup,2,FALSE)</f>
        <v>#N/A</v>
      </c>
    </row>
    <row r="12" spans="1:5" x14ac:dyDescent="0.25">
      <c r="A12" t="e">
        <f>VLOOKUP(Card!D13,AnswerReverseLkup,2,FALSE)</f>
        <v>#N/A</v>
      </c>
      <c r="B12" t="e">
        <f>VLOOKUP(Card!E13,AnswerReverseLkup,2,FALSE)</f>
        <v>#N/A</v>
      </c>
      <c r="C12" t="e">
        <f>VLOOKUP(Card!F13,AnswerReverseLkup,2,FALSE)</f>
        <v>#N/A</v>
      </c>
      <c r="D12" t="e">
        <f>VLOOKUP(Card!G13,AnswerReverseLkup,2,FALSE)</f>
        <v>#N/A</v>
      </c>
      <c r="E12" t="e">
        <f>VLOOKUP(Card!H13,AnswerReverseLkup,2,FALSE)</f>
        <v>#N/A</v>
      </c>
    </row>
    <row r="13" spans="1:5" x14ac:dyDescent="0.25">
      <c r="A13" t="e">
        <f>VLOOKUP(Card!D14,AnswerReverseLkup,2,FALSE)</f>
        <v>#N/A</v>
      </c>
      <c r="B13" t="e">
        <f>VLOOKUP(Card!E14,AnswerReverseLkup,2,FALSE)</f>
        <v>#N/A</v>
      </c>
      <c r="C13" t="e">
        <f>VLOOKUP(Card!F14,AnswerReverseLkup,2,FALSE)</f>
        <v>#N/A</v>
      </c>
      <c r="D13" t="e">
        <f>VLOOKUP(Card!G14,AnswerReverseLkup,2,FALSE)</f>
        <v>#N/A</v>
      </c>
      <c r="E13" t="e">
        <f>VLOOKUP(Card!H14,AnswerReverseLkup,2,FALSE)</f>
        <v>#N/A</v>
      </c>
    </row>
    <row r="14" spans="1:5" x14ac:dyDescent="0.25">
      <c r="A14">
        <f>SUMIF(Scoring[APC],"&gt;= 0")</f>
        <v>0</v>
      </c>
      <c r="B14">
        <f>SUMIF(Scoring[APD],"&gt;= 0")</f>
        <v>0</v>
      </c>
      <c r="C14">
        <f>SUMIF(Scoring[APSD],"&gt;= 0")</f>
        <v>2</v>
      </c>
      <c r="D14">
        <f>SUMIF(Scoring[SPD],"&gt;= 0")</f>
        <v>2</v>
      </c>
      <c r="E14">
        <f>SUMIF(Scoring[VPDS],"&gt;= 0")</f>
        <v>0</v>
      </c>
    </row>
  </sheetData>
  <hyperlinks>
    <hyperlink ref="C1" r:id="rId1"/>
    <hyperlink ref="A1" r:id="rId2"/>
    <hyperlink ref="B1" r:id="rId3"/>
    <hyperlink ref="E1" r:id="rId4" display="COTS"/>
    <hyperlink ref="D1" r:id="rId5"/>
  </hyperlinks>
  <pageMargins left="0.7" right="0.7" top="0.75" bottom="0.75" header="0.3" footer="0.3"/>
  <legacyDrawing r:id="rId6"/>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39997558519241921"/>
  </sheetPr>
  <dimension ref="A1:D5"/>
  <sheetViews>
    <sheetView showGridLines="0" workbookViewId="0">
      <selection activeCell="A7" sqref="A7:XFD7"/>
    </sheetView>
  </sheetViews>
  <sheetFormatPr defaultRowHeight="15" x14ac:dyDescent="0.25"/>
  <cols>
    <col min="1" max="1" width="35.5703125" customWidth="1"/>
    <col min="2" max="2" width="16.85546875" customWidth="1"/>
    <col min="3" max="3" width="130.42578125" customWidth="1"/>
    <col min="4" max="4" width="46.28515625" customWidth="1"/>
  </cols>
  <sheetData>
    <row r="1" spans="1:4" ht="21" x14ac:dyDescent="0.35">
      <c r="A1" s="1" t="s">
        <v>47</v>
      </c>
    </row>
    <row r="2" spans="1:4" x14ac:dyDescent="0.25">
      <c r="A2" s="3" t="s">
        <v>39</v>
      </c>
      <c r="B2" s="3" t="s">
        <v>42</v>
      </c>
      <c r="C2" s="3" t="s">
        <v>41</v>
      </c>
      <c r="D2" t="s">
        <v>45</v>
      </c>
    </row>
    <row r="3" spans="1:4" x14ac:dyDescent="0.25">
      <c r="A3" s="3" t="s">
        <v>40</v>
      </c>
      <c r="B3" s="6" t="e">
        <f>VLOOKUP(ResponseText!#REF!,ScopeQuestionLkup,2,FALSE)</f>
        <v>#REF!</v>
      </c>
      <c r="C3" s="3" t="s">
        <v>43</v>
      </c>
    </row>
    <row r="4" spans="1:4" ht="60" x14ac:dyDescent="0.25">
      <c r="A4" s="8" t="s">
        <v>46</v>
      </c>
      <c r="B4" s="9" t="e">
        <f>IF(AND(VLOOKUP(3,QuestionLkup,3,FALSE)="Y",VLOOKUP(4,QuestionLkup,3,FALSE)="Y",VLOOKUP(5,QuestionLkup,3,FALSE)="Y"),"Y","N")</f>
        <v>#N/A</v>
      </c>
      <c r="C4" s="10" t="s">
        <v>48</v>
      </c>
      <c r="D4" s="7" t="s">
        <v>44</v>
      </c>
    </row>
    <row r="5" spans="1:4" ht="30" x14ac:dyDescent="0.25">
      <c r="A5" s="3" t="s">
        <v>49</v>
      </c>
      <c r="B5" s="11" t="str">
        <f>IF(AND(VLOOKUP(10,QuestionLkup,3,FALSE)="Y",VLOOKUP(11,QuestionLkup,3,FALSE)="Y"),"Y","N")</f>
        <v>N</v>
      </c>
      <c r="C5" s="10" t="s">
        <v>50</v>
      </c>
      <c r="D5" s="5"/>
    </row>
  </sheetData>
  <conditionalFormatting sqref="B3:B5">
    <cfRule type="cellIs" dxfId="8" priority="2" operator="equal">
      <formula>"Y"</formula>
    </cfRule>
  </conditionalFormatting>
  <conditionalFormatting sqref="C3:C5">
    <cfRule type="expression" dxfId="7" priority="1">
      <formula>$B3 = "Y"</formula>
    </cfRule>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C7"/>
  <sheetViews>
    <sheetView showGridLines="0" workbookViewId="0">
      <selection activeCell="B20" sqref="B20"/>
    </sheetView>
  </sheetViews>
  <sheetFormatPr defaultRowHeight="15" x14ac:dyDescent="0.25"/>
  <cols>
    <col min="1" max="1" width="12.28515625" customWidth="1"/>
    <col min="2" max="2" width="20.7109375" customWidth="1"/>
    <col min="3" max="3" width="13.5703125" customWidth="1"/>
  </cols>
  <sheetData>
    <row r="1" spans="1:3" x14ac:dyDescent="0.25">
      <c r="A1" t="s">
        <v>7</v>
      </c>
      <c r="B1" t="s">
        <v>8</v>
      </c>
      <c r="C1" t="s">
        <v>51</v>
      </c>
    </row>
    <row r="2" spans="1:3" x14ac:dyDescent="0.25">
      <c r="A2">
        <v>0</v>
      </c>
      <c r="B2" t="s">
        <v>6</v>
      </c>
      <c r="C2" s="12">
        <v>0</v>
      </c>
    </row>
    <row r="3" spans="1:3" x14ac:dyDescent="0.25">
      <c r="A3">
        <v>-1</v>
      </c>
      <c r="B3" t="s">
        <v>9</v>
      </c>
      <c r="C3" s="13">
        <v>-1</v>
      </c>
    </row>
    <row r="4" spans="1:3" x14ac:dyDescent="0.25">
      <c r="A4">
        <v>2</v>
      </c>
      <c r="B4" t="s">
        <v>5</v>
      </c>
      <c r="C4" s="12">
        <v>2</v>
      </c>
    </row>
    <row r="5" spans="1:3" x14ac:dyDescent="0.25">
      <c r="A5">
        <v>3</v>
      </c>
      <c r="B5" t="s">
        <v>86</v>
      </c>
      <c r="C5" s="13">
        <v>3</v>
      </c>
    </row>
    <row r="6" spans="1:3" x14ac:dyDescent="0.25">
      <c r="A6">
        <v>4</v>
      </c>
      <c r="B6" t="s">
        <v>85</v>
      </c>
      <c r="C6" s="12">
        <v>4</v>
      </c>
    </row>
    <row r="7" spans="1:3" x14ac:dyDescent="0.25">
      <c r="A7">
        <v>5</v>
      </c>
      <c r="B7" t="s">
        <v>11</v>
      </c>
      <c r="C7" s="14">
        <v>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4"/>
  <sheetViews>
    <sheetView showGridLines="0" workbookViewId="0">
      <selection activeCell="E7" sqref="E7"/>
    </sheetView>
  </sheetViews>
  <sheetFormatPr defaultRowHeight="15" x14ac:dyDescent="0.25"/>
  <cols>
    <col min="1" max="1" width="15.5703125" customWidth="1"/>
    <col min="5" max="5" width="9.140625" style="24"/>
    <col min="6" max="6" width="12.28515625" customWidth="1"/>
  </cols>
  <sheetData>
    <row r="1" spans="1:6" x14ac:dyDescent="0.25">
      <c r="A1" t="s">
        <v>90</v>
      </c>
      <c r="D1" t="s">
        <v>91</v>
      </c>
      <c r="F1" t="s">
        <v>92</v>
      </c>
    </row>
    <row r="2" spans="1:6" x14ac:dyDescent="0.25">
      <c r="D2">
        <v>0</v>
      </c>
      <c r="F2">
        <v>1</v>
      </c>
    </row>
    <row r="3" spans="1:6" x14ac:dyDescent="0.25">
      <c r="A3" s="24"/>
    </row>
    <row r="5" spans="1:6" x14ac:dyDescent="0.25">
      <c r="A5" s="24"/>
    </row>
    <row r="6" spans="1:6" x14ac:dyDescent="0.25">
      <c r="A6" s="24"/>
    </row>
    <row r="7" spans="1:6" x14ac:dyDescent="0.25">
      <c r="A7" s="24"/>
    </row>
    <row r="8" spans="1:6" x14ac:dyDescent="0.25">
      <c r="A8" s="24"/>
    </row>
    <row r="9" spans="1:6" x14ac:dyDescent="0.25">
      <c r="A9" s="24"/>
    </row>
    <row r="10" spans="1:6" x14ac:dyDescent="0.25">
      <c r="A10" s="24"/>
    </row>
    <row r="11" spans="1:6" x14ac:dyDescent="0.25">
      <c r="A11" s="24"/>
    </row>
    <row r="12" spans="1:6" x14ac:dyDescent="0.25">
      <c r="A12" s="24"/>
    </row>
    <row r="13" spans="1:6" x14ac:dyDescent="0.25">
      <c r="A13" s="24"/>
    </row>
    <row r="14" spans="1:6" x14ac:dyDescent="0.25">
      <c r="A14" s="24"/>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6" tint="-0.249977111117893"/>
  </sheetPr>
  <dimension ref="A1"/>
  <sheetViews>
    <sheetView showGridLines="0" topLeftCell="A4" workbookViewId="0">
      <selection activeCell="G2" sqref="G2"/>
    </sheetView>
  </sheetViews>
  <sheetFormatPr defaultRowHeight="15" x14ac:dyDescent="0.25"/>
  <sheetData>
    <row r="1" spans="1:1" ht="21" x14ac:dyDescent="0.35">
      <c r="A1" s="1" t="s">
        <v>125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99631471A56F48875466DCC4935073" ma:contentTypeVersion="0" ma:contentTypeDescription="Create a new document." ma:contentTypeScope="" ma:versionID="103f091339deaf7a512f943a8c87845f">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21573F-D6D5-4268-82C7-E605E00D0B25}">
  <ds:schemaRefs>
    <ds:schemaRef ds:uri="http://schemas.microsoft.com/sharepoint/v3/contenttype/forms"/>
  </ds:schemaRefs>
</ds:datastoreItem>
</file>

<file path=customXml/itemProps2.xml><?xml version="1.0" encoding="utf-8"?>
<ds:datastoreItem xmlns:ds="http://schemas.openxmlformats.org/officeDocument/2006/customXml" ds:itemID="{98E8EB7F-8DB0-4B5C-A670-82C5F569A203}">
  <ds:schemaRefs>
    <ds:schemaRef ds:uri="http://schemas.microsoft.com/office/2006/documentManagement/types"/>
    <ds:schemaRef ds:uri="http://purl.org/dc/elements/1.1/"/>
    <ds:schemaRef ds:uri="http://schemas.microsoft.com/office/infopath/2007/PartnerControls"/>
    <ds:schemaRef ds:uri="http://www.w3.org/XML/1998/namespace"/>
    <ds:schemaRef ds:uri="http://purl.org/dc/terms/"/>
    <ds:schemaRef ds:uri="http://schemas.microsoft.com/office/2006/metadata/propertie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DCBBA0DD-1492-4838-A5C7-73197412DC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Card</vt:lpstr>
      <vt:lpstr>QuestionLkup</vt:lpstr>
      <vt:lpstr>Answer</vt:lpstr>
      <vt:lpstr>SumUp</vt:lpstr>
      <vt:lpstr>Analysis</vt:lpstr>
      <vt:lpstr>ResponseText</vt:lpstr>
      <vt:lpstr>NextQLIFO</vt:lpstr>
      <vt:lpstr>DecisionTree</vt:lpstr>
      <vt:lpstr>AdviceRange</vt:lpstr>
      <vt:lpstr>AnsLkupByUniqueKey</vt:lpstr>
      <vt:lpstr>Answer_TblLkup</vt:lpstr>
      <vt:lpstr>AnswerLkup</vt:lpstr>
      <vt:lpstr>AnswerPgQuestionNum</vt:lpstr>
      <vt:lpstr>AnswerRange</vt:lpstr>
      <vt:lpstr>AnswerReverseLkup</vt:lpstr>
      <vt:lpstr>AnswerTable</vt:lpstr>
      <vt:lpstr>CardLkup</vt:lpstr>
      <vt:lpstr>CardQuestionLkup</vt:lpstr>
      <vt:lpstr>CurLookupResetRange</vt:lpstr>
      <vt:lpstr>QuestionLkup</vt:lpstr>
      <vt:lpstr>QuestionResetRange</vt:lpstr>
      <vt:lpstr>QuestionTable</vt:lpstr>
    </vt:vector>
  </TitlesOfParts>
  <Company>Koch Industries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Pattern Selection Worksheet</dc:title>
  <dc:creator>DeFerbrache, Warren</dc:creator>
  <cp:lastModifiedBy>DeFerbrache, Warren</cp:lastModifiedBy>
  <cp:lastPrinted>2015-12-11T14:51:48Z</cp:lastPrinted>
  <dcterms:created xsi:type="dcterms:W3CDTF">2015-10-19T16:42:59Z</dcterms:created>
  <dcterms:modified xsi:type="dcterms:W3CDTF">2017-01-12T22:35:36Z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0x010100A899631471A56F48875466DCC4935073</vt:lpwstr>
  </property>
</Properties>
</file>